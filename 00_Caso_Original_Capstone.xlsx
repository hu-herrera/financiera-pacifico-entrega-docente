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-Alumno\Downloads\"/>
    </mc:Choice>
  </mc:AlternateContent>
  <xr:revisionPtr revIDLastSave="0" documentId="13_ncr:1_{54CAB16E-7D98-4254-8257-AA428016B367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Guía Capstone" sheetId="1" r:id="rId1"/>
    <sheet name="Empresas" sheetId="2" r:id="rId2"/>
    <sheet name="Fichas de Casos" sheetId="3" r:id="rId3"/>
    <sheet name="Datos Técnicos" sheetId="4" r:id="rId4"/>
    <sheet name="Hitos y Entregables" sheetId="5" r:id="rId5"/>
    <sheet name="BOM y Costos" sheetId="6" r:id="rId6"/>
    <sheet name="Plan de Pruebas" sheetId="7" r:id="rId7"/>
    <sheet name="Evaluación" sheetId="8" r:id="rId8"/>
    <sheet name="Seguimiento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3" i="8" l="1"/>
  <c r="H11" i="8"/>
  <c r="H10" i="8"/>
  <c r="H9" i="8"/>
  <c r="H8" i="8"/>
  <c r="H7" i="8"/>
  <c r="H6" i="8"/>
  <c r="H5" i="8"/>
  <c r="H4" i="8"/>
  <c r="H3" i="8"/>
  <c r="H2" i="8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33" i="6" s="1"/>
</calcChain>
</file>

<file path=xl/sharedStrings.xml><?xml version="1.0" encoding="utf-8"?>
<sst xmlns="http://schemas.openxmlformats.org/spreadsheetml/2006/main" count="606" uniqueCount="474">
  <si>
    <t>CAPSTONE – INGENIERÍA EN CONECTIVIDAD Y REDES</t>
  </si>
  <si>
    <t>Propósito</t>
  </si>
  <si>
    <t>Simular un proyecto real de ingeniería desarrollado para una empresa. El estudiante actúa como Ingeniero en Conectividad y Redes.</t>
  </si>
  <si>
    <t>Regla principal</t>
  </si>
  <si>
    <t>El caso entrega problemas y restricciones, NO la solución. El estudiante levanta requerimientos, compara alternativas, diseña, justifica, implementa/prototipa y mide.</t>
  </si>
  <si>
    <t>Entregable 1</t>
  </si>
  <si>
    <t>Diagnóstico: situación actual, riesgos, requerimientos funcionales/no funcionales y supuestos.</t>
  </si>
  <si>
    <t>Entregable 2</t>
  </si>
  <si>
    <t>HLD: arquitectura, tecnologías, redundancia, seguridad, continuidad y escalabilidad.</t>
  </si>
  <si>
    <t>Entregable 3</t>
  </si>
  <si>
    <t>LLD: direccionamiento, VLAN/VRF, routing, interfaces, enlaces, políticas, QoS, VPN y monitoreo.</t>
  </si>
  <si>
    <t>Entregable 4</t>
  </si>
  <si>
    <t>Evaluación económica: BOM, licencias, CAPEX/OPEX, priorización y justificación.</t>
  </si>
  <si>
    <t>Entregable 5</t>
  </si>
  <si>
    <t>Prototipo/laboratorio en EVE-NG, GNS3, Packet Tracer o equipamiento físico.</t>
  </si>
  <si>
    <t>Entregable 6</t>
  </si>
  <si>
    <t>Pruebas cuantificables: latencia, jitter, pérdida, convergencia, disponibilidad, throughput, cobertura u otras.</t>
  </si>
  <si>
    <t>Entregable 7</t>
  </si>
  <si>
    <t>Implementación, migración, rollback, riesgos, operación, monitoreo y continuidad.</t>
  </si>
  <si>
    <t>Defensa</t>
  </si>
  <si>
    <t>Presentación ante un cliente: justificar decisiones y responder cambios de presupuesto, fallas, crecimiento y seguridad.</t>
  </si>
  <si>
    <t>Se evalúa la capacidad de tomar decisiones de ingeniería y demostrar por qué la solución es adecuada para el negocio, no solo que una configuración funcione.</t>
  </si>
  <si>
    <t>ID</t>
  </si>
  <si>
    <t>Empresa ficticia</t>
  </si>
  <si>
    <t>Industria</t>
  </si>
  <si>
    <t>Trabajadores</t>
  </si>
  <si>
    <t>Sedes</t>
  </si>
  <si>
    <t>Usuarios TI aprox.</t>
  </si>
  <si>
    <t>Servicios críticos</t>
  </si>
  <si>
    <t>Problema principal</t>
  </si>
  <si>
    <t>Presupuesto CLP</t>
  </si>
  <si>
    <t>Horizonte</t>
  </si>
  <si>
    <t>MercadoSur</t>
  </si>
  <si>
    <t>Retail / supermercados</t>
  </si>
  <si>
    <t>POS, ERP, inventario, VoIP, CCTV</t>
  </si>
  <si>
    <t>Caídas WAN interrumpen ventas y operación</t>
  </si>
  <si>
    <t>5 años</t>
  </si>
  <si>
    <t>Clínica San Gabriel</t>
  </si>
  <si>
    <t>Salud</t>
  </si>
  <si>
    <t>Ficha clínica, imagenología, VoIP, Wi-Fi, CCTV</t>
  </si>
  <si>
    <t>Red poco segmentada, Wi-Fi inestable y puntos únicos de falla</t>
  </si>
  <si>
    <t>Logística Andes</t>
  </si>
  <si>
    <t>Logística</t>
  </si>
  <si>
    <t>WMS, ERP, RF, CCTV, VoIP</t>
  </si>
  <si>
    <t>Enlaces heterogéneos y mala visibilidad</t>
  </si>
  <si>
    <t>4 años</t>
  </si>
  <si>
    <t>Minera Cordillera</t>
  </si>
  <si>
    <t>Minería</t>
  </si>
  <si>
    <t>Telemetría, voz, videoconferencia, ERP, CCTV</t>
  </si>
  <si>
    <t>Faenas remotas con alta latencia y enlaces poco confiables</t>
  </si>
  <si>
    <t>Universidad Horizonte</t>
  </si>
  <si>
    <t>Educación superior</t>
  </si>
  <si>
    <t>LMS, ERP, Wi-Fi, laboratorios</t>
  </si>
  <si>
    <t>Alta densidad Wi-Fi y crecimiento desordenado</t>
  </si>
  <si>
    <t>Financiera Pacífico</t>
  </si>
  <si>
    <t>Servicios financieros</t>
  </si>
  <si>
    <t>Core financiero, sucursales, VoIP</t>
  </si>
  <si>
    <t>Continuidad y seguridad entre sucursales</t>
  </si>
  <si>
    <t>Municipalidad Nueva Esperanza</t>
  </si>
  <si>
    <t>Sector público</t>
  </si>
  <si>
    <t>Atención ciudadana, ERP, correo, CCTV</t>
  </si>
  <si>
    <t>Sedes aisladas y poca estandarización</t>
  </si>
  <si>
    <t>Retail Nova</t>
  </si>
  <si>
    <t>Retail</t>
  </si>
  <si>
    <t>POS, inventario, cloud, CCTV</t>
  </si>
  <si>
    <t>WAN tradicional costosa y sin selección inteligente</t>
  </si>
  <si>
    <t>Complejo Penitenciario Central</t>
  </si>
  <si>
    <t>Seguridad / sector público</t>
  </si>
  <si>
    <t>CCTV, control acceso, administración, VoIP</t>
  </si>
  <si>
    <t>Servicios críticos requieren aislamiento y resiliencia</t>
  </si>
  <si>
    <t>Industrias MetalSur</t>
  </si>
  <si>
    <t>Manufactura / OT</t>
  </si>
  <si>
    <t>MES, ERP, PLC/OT, CCTV</t>
  </si>
  <si>
    <t>Separación IT/OT insuficiente</t>
  </si>
  <si>
    <t>Hotel Costa Azul</t>
  </si>
  <si>
    <t>Hotelería</t>
  </si>
  <si>
    <t>Wi-Fi, PMS, VoIP, CCTV, IoT</t>
  </si>
  <si>
    <t>Cobertura deficiente y mezcla de tráfico</t>
  </si>
  <si>
    <t>TecnoCloud SpA</t>
  </si>
  <si>
    <t>Tecnología</t>
  </si>
  <si>
    <t>SaaS, AWS/Azure, Git, VPN</t>
  </si>
  <si>
    <t>Cloud híbrido sin arquitectura resiliente</t>
  </si>
  <si>
    <t>Contacta Chile</t>
  </si>
  <si>
    <t>Call center</t>
  </si>
  <si>
    <t>VoIP, CRM cloud, grabación</t>
  </si>
  <si>
    <t>Jitter/pérdida y ausencia de QoS medible</t>
  </si>
  <si>
    <t>3 años</t>
  </si>
  <si>
    <t>Puerto del Sur</t>
  </si>
  <si>
    <t>Terminal logístico</t>
  </si>
  <si>
    <t>TOS, Wi-Fi industrial, CCTV</t>
  </si>
  <si>
    <t>Cobertura industrial y continuidad deficientes</t>
  </si>
  <si>
    <t>Servicios Profesionales Nexus</t>
  </si>
  <si>
    <t>Servicios</t>
  </si>
  <si>
    <t>VPN, SaaS, archivos, videoconferencia</t>
  </si>
  <si>
    <t>Acceso remoto no escala y tiene permisos excesivos</t>
  </si>
  <si>
    <t>Empresa</t>
  </si>
  <si>
    <t>Situación actual</t>
  </si>
  <si>
    <t>Infraestructura existente</t>
  </si>
  <si>
    <t>Problemas conocidos</t>
  </si>
  <si>
    <t>Restricciones</t>
  </si>
  <si>
    <t>Crecimiento esperado</t>
  </si>
  <si>
    <t>Evento sorpresa 1</t>
  </si>
  <si>
    <t>Evento sorpresa 2</t>
  </si>
  <si>
    <t>Objetivo del cliente</t>
  </si>
  <si>
    <t>Casa matriz y 18 supermercados; operación 7x24.</t>
  </si>
  <si>
    <t>Core antiguo; router ISP + L2 por local; MPLS en 12, Internet en 6; 10.20.0.0/16.</t>
  </si>
  <si>
    <t>Caídas; 11 locales sin respaldo; sin QoS; monitoreo reactivo.</t>
  </si>
  <si>
    <t>No reemplazar POS; migrar fuera de horario; máximo 20 min de corte.</t>
  </si>
  <si>
    <t>5 locales nuevos; mayor SaaS.</t>
  </si>
  <si>
    <t>4 enlaces pasan a 180 ms/6% pérdida sin caer.</t>
  </si>
  <si>
    <t>Presupuesto baja 20%.</t>
  </si>
  <si>
    <t>Modernizar WAN y asegurar continuidad de ventas.</t>
  </si>
  <si>
    <t>Edificio principal de 4 pisos + centro secundario; atención continua.</t>
  </si>
  <si>
    <t>Core L3 único; 11 switches; 14 AP; firewall único; Internet 500 Mbps; sede 200 Mbps; 10.30.0.0/16.</t>
  </si>
  <si>
    <t>Wi-Fi inestable; CCTV con acceso excesivo; core/firewall SPOF; logs dispersos.</t>
  </si>
  <si>
    <t>No interrumpir atención; mantener equipos médicos legado; cambios críticos después de 22:00.</t>
  </si>
  <si>
    <t>80 trabajadores y tercera sede.</t>
  </si>
  <si>
    <t>Cámara IP inicia conexiones hacia red administrativa.</t>
  </si>
  <si>
    <t>Enlace principal falla 4 horas.</t>
  </si>
  <si>
    <t>Mejorar seguridad, disponibilidad, Wi-Fi y crecimiento.</t>
  </si>
  <si>
    <t>Casa matriz + 6 centros de distribución; RF/WMS intensivo.</t>
  </si>
  <si>
    <t>Enlaces 100–500 Mbps; switches mixtos; AP de 3 fabricantes; 10.40.0.0/16.</t>
  </si>
  <si>
    <t>Roaming deficiente; zonas sin cobertura; sin NMS unificado.</t>
  </si>
  <si>
    <t>Operación 24x6; bodegas metálicas; reutilizar 60% de switches.</t>
  </si>
  <si>
    <t>2 nuevos CD; 35% más RF.</t>
  </si>
  <si>
    <t>Un CD pierde fibra 9 horas.</t>
  </si>
  <si>
    <t>Nuevo WMS cloud exige RTT &lt;100 ms.</t>
  </si>
  <si>
    <t>Normalizar WAN/WLAN y continuidad logística.</t>
  </si>
  <si>
    <t>Oficina central + 3 faenas remotas.</t>
  </si>
  <si>
    <t>Fibra, microondas, 4G y satelital; IPsec independientes; 10.50.0.0/16.</t>
  </si>
  <si>
    <t>Latencia variable; failover manual; poca visibilidad.</t>
  </si>
  <si>
    <t>Soporte presencial limitado; respaldos físicamente diversos.</t>
  </si>
  <si>
    <t>Más telemetría y video.</t>
  </si>
  <si>
    <t>Microondas queda UP con 12% pérdida.</t>
  </si>
  <si>
    <t>Priorizar voz/telemetría sobre navegación.</t>
  </si>
  <si>
    <t>Conectividad multiservicio resiliente.</t>
  </si>
  <si>
    <t>Campus principal + 4 sedes; miles de dispositivos.</t>
  </si>
  <si>
    <t>Core redundante parcial; 75 switches; 130 AP; 10.60.0.0/15.</t>
  </si>
  <si>
    <t>Congestión Wi-Fi; VLAN extensas; baja trazabilidad.</t>
  </si>
  <si>
    <t>No reemplazar cableado salvo zonas críticas.</t>
  </si>
  <si>
    <t>30% más dispositivos.</t>
  </si>
  <si>
    <t>Evento agrega 1.500 dispositivos.</t>
  </si>
  <si>
    <t>IoT de laboratorios sin acceso lateral.</t>
  </si>
  <si>
    <t>Rediseñar campus LAN/WLAN.</t>
  </si>
  <si>
    <t>Casa matriz, datacenter y 21 sucursales.</t>
  </si>
  <si>
    <t>Dual ISP HQ; MPLS único en sucursales; OSPF; 10.70.0.0/16.</t>
  </si>
  <si>
    <t>Sucursales sin contingencia; cambios manuales.</t>
  </si>
  <si>
    <t>RTO sucursal &lt;=5 min; cifrado y auditoría obligatorios.</t>
  </si>
  <si>
    <t>6 sucursales nuevas.</t>
  </si>
  <si>
    <t>Caída nacional MPLS 3 horas.</t>
  </si>
  <si>
    <t>Auditoría exige trazabilidad de cambios.</t>
  </si>
  <si>
    <t>Modernizar WAN con seguridad y continuidad.</t>
  </si>
  <si>
    <t>Edificio central + 7 dependencias.</t>
  </si>
  <si>
    <t>Equipamiento heterogéneo; Internet independiente; VPN manual; 10.80.0.0/16.</t>
  </si>
  <si>
    <t>Sin estándar; subredes superpuestas; Wi-Fi invitados mal aislado.</t>
  </si>
  <si>
    <t>Presupuesto acotado; ejecución por etapas.</t>
  </si>
  <si>
    <t>2 oficinas nuevas.</t>
  </si>
  <si>
    <t>Dos sedes usan 192.168.1.0/24.</t>
  </si>
  <si>
    <t>Primer año financia solo 50%.</t>
  </si>
  <si>
    <t>Estandarizar red multisede por fases.</t>
  </si>
  <si>
    <t>25 tiendas + casa matriz.</t>
  </si>
  <si>
    <t>Internet dedicado/banda ancha; VPN hub-spoke; 10.90.0.0/16.</t>
  </si>
  <si>
    <t>Costos altos; sin failover; SaaS hairpin por HQ.</t>
  </si>
  <si>
    <t>No cambiar aplicaciones; operación hasta 22:00.</t>
  </si>
  <si>
    <t>10 tiendas nuevas.</t>
  </si>
  <si>
    <t>CRM cloud cambia de región.</t>
  </si>
  <si>
    <t>Dos ISP comparten última milla en 8 tiendas.</t>
  </si>
  <si>
    <t>WAN orientada a aplicaciones y resiliencia.</t>
  </si>
  <si>
    <t>Recinto con administración, CCTV, control acceso y voz.</t>
  </si>
  <si>
    <t>2 cores sin HA; 28 switches; 180 cámaras; 10.100.0.0/16.</t>
  </si>
  <si>
    <t>CCTV alto tráfico; acceso excesivo; monitoreo parcial.</t>
  </si>
  <si>
    <t>CCTV/control acceso no pueden detenerse; terceros controlados.</t>
  </si>
  <si>
    <t>60 cámaras nuevas.</t>
  </si>
  <si>
    <t>Proveedor requiere acceso temporal a 12 cámaras.</t>
  </si>
  <si>
    <t>Falla distribución deja pabellón aislado.</t>
  </si>
  <si>
    <t>Segmentar y eliminar SPOF.</t>
  </si>
  <si>
    <t>Planta + oficina; IT y automatización.</t>
  </si>
  <si>
    <t>Core único; VLAN IT/OT básicas; PLC/HMI; 10.110.0.0/16.</t>
  </si>
  <si>
    <t>Rutas IT-OT directas; sin DMZ industrial.</t>
  </si>
  <si>
    <t>No actualizar PLC; producción 24x7.</t>
  </si>
  <si>
    <t>Nueva línea productiva.</t>
  </si>
  <si>
    <t>Proveedor necesita acceso remoto a HMI.</t>
  </si>
  <si>
    <t>Malware IT intenta conexiones hacia OT.</t>
  </si>
  <si>
    <t>Segmentación IT/OT y acceso seguro.</t>
  </si>
  <si>
    <t>220 habitaciones, restaurante, salones y administración.</t>
  </si>
  <si>
    <t>32 AP; 8 switches PoE; firewall único; 10.120.0.0/16.</t>
  </si>
  <si>
    <t>Quejas Wi-Fi; aislamiento deficiente; AP saturados.</t>
  </si>
  <si>
    <t>24x7; obras civiles mínimas.</t>
  </si>
  <si>
    <t>60 habitaciones nuevas.</t>
  </si>
  <si>
    <t>Congreso de 500 personas.</t>
  </si>
  <si>
    <t>Se agregan cerraduras/IoT Wi-Fi.</t>
  </si>
  <si>
    <t>Rediseñar WLAN/LAN.</t>
  </si>
  <si>
    <t>Servicios on-premise + AWS/Azure.</t>
  </si>
  <si>
    <t>2 ISP; firewall; VPN cloud individuales; 10.130.0.0/16.</t>
  </si>
  <si>
    <t>Rutas manuales; túneles sin redundancia; observabilidad separada.</t>
  </si>
  <si>
    <t>No renumerar servidores críticos en fase 1.</t>
  </si>
  <si>
    <t>Duplica cargas cloud.</t>
  </si>
  <si>
    <t>Nueva VPC se superpone con red interna.</t>
  </si>
  <si>
    <t>VPN flapping cada 10 min.</t>
  </si>
  <si>
    <t>Conectividad híbrida escalable.</t>
  </si>
  <si>
    <t>2 centros de contacto; operación extendida.</t>
  </si>
  <si>
    <t>VoIP/SBC/CRM cloud; 1 Gbps + 500 Mbps; 10.140.0.0/16.</t>
  </si>
  <si>
    <t>Jitter en punta; voz compite con backups; sin MOS.</t>
  </si>
  <si>
    <t>No cambiar telefonía; mantener grabación.</t>
  </si>
  <si>
    <t>120 agentes más.</t>
  </si>
  <si>
    <t>Backup consume 600 Mbps a las 18:00.</t>
  </si>
  <si>
    <t>ISP tiene 3% pérdida sin caer.</t>
  </si>
  <si>
    <t>QoS con mejora cuantificable.</t>
  </si>
  <si>
    <t>Terminal con patios, bodegas, grúas y edificios.</t>
  </si>
  <si>
    <t>Fibra parcial; radio; 55 AP industriales; 10.150.0.0/16.</t>
  </si>
  <si>
    <t>Sombras; interferencia; enlaces expuestos.</t>
  </si>
  <si>
    <t>Ambiente industrial; 24x7; distancias largas.</t>
  </si>
  <si>
    <t>Nuevo patio +40% superficie.</t>
  </si>
  <si>
    <t>Obra bloquea radioenlace principal.</t>
  </si>
  <si>
    <t>Movilidad continua de terminales.</t>
  </si>
  <si>
    <t>LAN/WLAN industrial resiliente.</t>
  </si>
  <si>
    <t>3 oficinas; alta modalidad híbrida.</t>
  </si>
  <si>
    <t>VPN SSL central; MFA parcial; SaaS; 10.160.0.0/16.</t>
  </si>
  <si>
    <t>VPN saturada; acceso a redes completas.</t>
  </si>
  <si>
    <t>No reemplazar apps internas año 1.</t>
  </si>
  <si>
    <t>70% híbrido.</t>
  </si>
  <si>
    <t>Conexiones VPN se duplican.</t>
  </si>
  <si>
    <t>Cuentas de terceros siguen vigentes.</t>
  </si>
  <si>
    <t>Acceso remoto seguro y mínimo privilegio.</t>
  </si>
  <si>
    <t>Red base</t>
  </si>
  <si>
    <t>Internet/WAN actual</t>
  </si>
  <si>
    <t>Switching/WLAN</t>
  </si>
  <si>
    <t>Seguridad actual</t>
  </si>
  <si>
    <t>Monitoreo</t>
  </si>
  <si>
    <t>Disponibilidad objetivo</t>
  </si>
  <si>
    <t>Métricas mínimas</t>
  </si>
  <si>
    <t>10.20.0.0/16</t>
  </si>
  <si>
    <t>MPLS/Internet 100-500 Mbps</t>
  </si>
  <si>
    <t>L2 mixto / Wi-Fi básico</t>
  </si>
  <si>
    <t>Firewall central + VPN</t>
  </si>
  <si>
    <t>Ping manual</t>
  </si>
  <si>
    <t>99,90% tiendas críticas</t>
  </si>
  <si>
    <t>RTT, pérdida, failover, disponibilidad, throughput</t>
  </si>
  <si>
    <t>10.30.0.0/16</t>
  </si>
  <si>
    <t>500 Mbps + sede 200 Mbps</t>
  </si>
  <si>
    <t>Core L3 único / 14 AP</t>
  </si>
  <si>
    <t>Firewall único</t>
  </si>
  <si>
    <t>SNMP parcial</t>
  </si>
  <si>
    <t>99,95% servicios clínicos</t>
  </si>
  <si>
    <t>RTT, jitter, cobertura, failover, disponibilidad</t>
  </si>
  <si>
    <t>10.40.0.0/16</t>
  </si>
  <si>
    <t>100-500 Mbps multi-ISP</t>
  </si>
  <si>
    <t>Mixto / AP 3 fabricantes</t>
  </si>
  <si>
    <t>VPN por sede</t>
  </si>
  <si>
    <t>Sin NMS común</t>
  </si>
  <si>
    <t>99,90% WMS</t>
  </si>
  <si>
    <t>RSSI/SNR, roaming, RTT, pérdida</t>
  </si>
  <si>
    <t>10.50.0.0/16</t>
  </si>
  <si>
    <t>Fibra + microondas + 4G + satélite</t>
  </si>
  <si>
    <t>Industrial mixto</t>
  </si>
  <si>
    <t>IPsec por faena</t>
  </si>
  <si>
    <t>Básico</t>
  </si>
  <si>
    <t>99,90% telemetría/voz</t>
  </si>
  <si>
    <t>RTT, jitter, pérdida, conmutación</t>
  </si>
  <si>
    <t>10.60.0.0/15</t>
  </si>
  <si>
    <t>2 enlaces 2 Gbps</t>
  </si>
  <si>
    <t>75 switches / 130 AP</t>
  </si>
  <si>
    <t>Firewall + VLAN</t>
  </si>
  <si>
    <t>Parcial</t>
  </si>
  <si>
    <t>99,90% core</t>
  </si>
  <si>
    <t>capacidad, RSSI, SNR, roaming, broadcast</t>
  </si>
  <si>
    <t>10.70.0.0/16</t>
  </si>
  <si>
    <t>MPLS + dual ISP HQ</t>
  </si>
  <si>
    <t>L3 corporativo</t>
  </si>
  <si>
    <t>Firewall/VPN</t>
  </si>
  <si>
    <t>NMS central</t>
  </si>
  <si>
    <t>99,99% core / 99,95% sucursal</t>
  </si>
  <si>
    <t>convergencia, RTT, pérdida, disponibilidad</t>
  </si>
  <si>
    <t>10.80.0.0/16</t>
  </si>
  <si>
    <t>Internet por sede</t>
  </si>
  <si>
    <t>Heterogéneo</t>
  </si>
  <si>
    <t>VPN manual</t>
  </si>
  <si>
    <t>Sin NMS formal</t>
  </si>
  <si>
    <t>99,50% servicios ciudadanos</t>
  </si>
  <si>
    <t>RTT, disponibilidad, utilización</t>
  </si>
  <si>
    <t>10.90.0.0/16</t>
  </si>
  <si>
    <t>Dedicado/banda ancha</t>
  </si>
  <si>
    <t>L2/L3 mixto</t>
  </si>
  <si>
    <t>VPN hub-spoke</t>
  </si>
  <si>
    <t>99,90% POS</t>
  </si>
  <si>
    <t>RTT por aplicación, pérdida, costo/Mbps</t>
  </si>
  <si>
    <t>10.100.0.0/16</t>
  </si>
  <si>
    <t>2 ISP</t>
  </si>
  <si>
    <t>28 switches / CCTV</t>
  </si>
  <si>
    <t>Firewall perimetral</t>
  </si>
  <si>
    <t>99,99% control/CCTV</t>
  </si>
  <si>
    <t>convergencia, throughput CCTV, pérdida</t>
  </si>
  <si>
    <t>10.110.0.0/16</t>
  </si>
  <si>
    <t>ISP + enlace corporativo</t>
  </si>
  <si>
    <t>Core único / industrial</t>
  </si>
  <si>
    <t>Logs dispersos</t>
  </si>
  <si>
    <t>99,99% OT</t>
  </si>
  <si>
    <t>latencia OT, flujos IT-OT, recuperación</t>
  </si>
  <si>
    <t>10.120.0.0/16</t>
  </si>
  <si>
    <t>1 Gbps</t>
  </si>
  <si>
    <t>8 PoE / 32 AP</t>
  </si>
  <si>
    <t>Firewall + SSID</t>
  </si>
  <si>
    <t>WLAN</t>
  </si>
  <si>
    <t>99,90% PMS</t>
  </si>
  <si>
    <t>RSSI, SNR, ocupación canal, throughput</t>
  </si>
  <si>
    <t>10.130.0.0/16</t>
  </si>
  <si>
    <t>2 ISP + VPN cloud</t>
  </si>
  <si>
    <t>L3 empresarial</t>
  </si>
  <si>
    <t>Firewall + IPsec</t>
  </si>
  <si>
    <t>Separado</t>
  </si>
  <si>
    <t>99,95% híbrida</t>
  </si>
  <si>
    <t>RTT, pérdida, rutas, failover, túneles</t>
  </si>
  <si>
    <t>10.140.0.0/16</t>
  </si>
  <si>
    <t>1 Gbps + 500 Mbps</t>
  </si>
  <si>
    <t>PoE administrable</t>
  </si>
  <si>
    <t>Firewall/SBC</t>
  </si>
  <si>
    <t>99,95% voz</t>
  </si>
  <si>
    <t>jitter, pérdida, RTT, MOS, colas</t>
  </si>
  <si>
    <t>10.150.0.0/16</t>
  </si>
  <si>
    <t>Fibra + radio</t>
  </si>
  <si>
    <t>Industrial / 55 AP</t>
  </si>
  <si>
    <t>99,95% operación</t>
  </si>
  <si>
    <t>RSSI/SNR, roaming, disponibilidad</t>
  </si>
  <si>
    <t>10.160.0.0/16</t>
  </si>
  <si>
    <t>2 ISP HQ</t>
  </si>
  <si>
    <t>SSL VPN + MFA parcial</t>
  </si>
  <si>
    <t>VPN logs</t>
  </si>
  <si>
    <t>99,90% remoto</t>
  </si>
  <si>
    <t>sesiones, throughput, RTT, autenticación</t>
  </si>
  <si>
    <t>Hito</t>
  </si>
  <si>
    <t>Producto esperado</t>
  </si>
  <si>
    <t>Contenido mínimo</t>
  </si>
  <si>
    <t>Ponderación</t>
  </si>
  <si>
    <t>Estado</t>
  </si>
  <si>
    <t>Observaciones</t>
  </si>
  <si>
    <t>1. Levantamiento</t>
  </si>
  <si>
    <t>Informe de situación actual</t>
  </si>
  <si>
    <t>Negocio, inventario, topología, problemas, riesgos, requerimientos y supuestos</t>
  </si>
  <si>
    <t>Pendiente</t>
  </si>
  <si>
    <t>2. Alternativas</t>
  </si>
  <si>
    <t>Matriz técnica/económica</t>
  </si>
  <si>
    <t>Mínimo 2 alternativas, criterios, ventajas, desventajas, costo y decisión</t>
  </si>
  <si>
    <t>3. HLD</t>
  </si>
  <si>
    <t>Diseño de alto nivel</t>
  </si>
  <si>
    <t>Arquitectura, WAN/LAN/WLAN, seguridad, redundancia, continuidad y escalabilidad</t>
  </si>
  <si>
    <t>4. LLD</t>
  </si>
  <si>
    <t>Diseño de bajo nivel</t>
  </si>
  <si>
    <t>IP, VLAN/VRF, routing, protocolos, enlaces, QoS, VPN, políticas y monitoreo</t>
  </si>
  <si>
    <t>5. Prototipo</t>
  </si>
  <si>
    <t>Laboratorio funcional</t>
  </si>
  <si>
    <t>Implementación representativa y configuraciones documentadas</t>
  </si>
  <si>
    <t>6. Pruebas</t>
  </si>
  <si>
    <t>Plan y evidencia</t>
  </si>
  <si>
    <t>Operación normal, degradación, falla, recuperación y métricas antes/después</t>
  </si>
  <si>
    <t>7. Costos/despliegue</t>
  </si>
  <si>
    <t>BOM + plan</t>
  </si>
  <si>
    <t>CAPEX/OPEX, fases, cronograma, migración, rollback y riesgos</t>
  </si>
  <si>
    <t>8. Defensa</t>
  </si>
  <si>
    <t>Presentación</t>
  </si>
  <si>
    <t>Problema, solución, resultados, costos, riesgos y respuesta al cliente</t>
  </si>
  <si>
    <t>Ítem</t>
  </si>
  <si>
    <t>Categoría</t>
  </si>
  <si>
    <t>Descripción / modelo propuesto</t>
  </si>
  <si>
    <t>Cantidad</t>
  </si>
  <si>
    <t>Costo unitario CLP</t>
  </si>
  <si>
    <t>Subtotal CLP</t>
  </si>
  <si>
    <t>Tipo</t>
  </si>
  <si>
    <t>Justificación técnica</t>
  </si>
  <si>
    <t>Prioridad</t>
  </si>
  <si>
    <t>CAPEX</t>
  </si>
  <si>
    <t>Media</t>
  </si>
  <si>
    <t>TOTAL PROPUESTA</t>
  </si>
  <si>
    <t>Prueba</t>
  </si>
  <si>
    <t>Objetivo</t>
  </si>
  <si>
    <t>Condición inicial</t>
  </si>
  <si>
    <t>Acción / falla inducida</t>
  </si>
  <si>
    <t>Métrica</t>
  </si>
  <si>
    <t>Umbral esperado</t>
  </si>
  <si>
    <t>Resultado</t>
  </si>
  <si>
    <t>Cumple</t>
  </si>
  <si>
    <t>Evidencia</t>
  </si>
  <si>
    <t>Operación normal</t>
  </si>
  <si>
    <t>Establecer línea base</t>
  </si>
  <si>
    <t>Latencia / pérdida</t>
  </si>
  <si>
    <t>Falla enlace principal</t>
  </si>
  <si>
    <t>Validar continuidad</t>
  </si>
  <si>
    <t>Desconectar/bloquear enlace</t>
  </si>
  <si>
    <t>Tiempo de convergencia</t>
  </si>
  <si>
    <t>Degradación sin caída</t>
  </si>
  <si>
    <t>Validar reacción a SLA degradado</t>
  </si>
  <si>
    <t>Agregar latencia/pérdida manteniendo UP</t>
  </si>
  <si>
    <t>RTT / jitter / pérdida</t>
  </si>
  <si>
    <t>Falla equipo crítico</t>
  </si>
  <si>
    <t>Validar HA</t>
  </si>
  <si>
    <t>Apagar nodo/interfaz crítica</t>
  </si>
  <si>
    <t>Tiempo de recuperación</t>
  </si>
  <si>
    <t>Congestión</t>
  </si>
  <si>
    <t>Validar QoS/capacidad</t>
  </si>
  <si>
    <t>Generar tráfico de fondo</t>
  </si>
  <si>
    <t>Jitter / pérdida / throughput</t>
  </si>
  <si>
    <t>Segmentación</t>
  </si>
  <si>
    <t>Validar seguridad</t>
  </si>
  <si>
    <t>Intentar flujo no autorizado</t>
  </si>
  <si>
    <t>Flujos permitidos/bloqueados</t>
  </si>
  <si>
    <t>Validar detección</t>
  </si>
  <si>
    <t>Provocar evento controlado</t>
  </si>
  <si>
    <t>Tiempo detección/alerta</t>
  </si>
  <si>
    <t>Recuperación</t>
  </si>
  <si>
    <t>Validar retorno normal</t>
  </si>
  <si>
    <t>Restaurar componente</t>
  </si>
  <si>
    <t>Tiempo estabilización</t>
  </si>
  <si>
    <t>Criterio</t>
  </si>
  <si>
    <t>Peso</t>
  </si>
  <si>
    <t>Nivel 4 - Excelente</t>
  </si>
  <si>
    <t>Nivel 3 - Adecuado</t>
  </si>
  <si>
    <t>Nivel 2 - Básico</t>
  </si>
  <si>
    <t>Nivel 1 - Insuficiente</t>
  </si>
  <si>
    <t>Nivel</t>
  </si>
  <si>
    <t>Puntaje ponderado</t>
  </si>
  <si>
    <t>Comprensión del negocio y levantamiento</t>
  </si>
  <si>
    <t>Completo, priorizado y trazable</t>
  </si>
  <si>
    <t>Buen levantamiento</t>
  </si>
  <si>
    <t>Genérico</t>
  </si>
  <si>
    <t>No entiende problema</t>
  </si>
  <si>
    <t>Diseño y arquitectura</t>
  </si>
  <si>
    <t>Coherente, resiliente, escalable y justificado</t>
  </si>
  <si>
    <t>Correcto</t>
  </si>
  <si>
    <t>Funcional pero débil</t>
  </si>
  <si>
    <t>Incompleto/inviable</t>
  </si>
  <si>
    <t>Fundamento técnico</t>
  </si>
  <si>
    <t>Compara y sustenta decisiones</t>
  </si>
  <si>
    <t>Mayormente justificado</t>
  </si>
  <si>
    <t>Preferencias sin suficiente evidencia</t>
  </si>
  <si>
    <t>No justifica</t>
  </si>
  <si>
    <t>Seguridad y segmentación</t>
  </si>
  <si>
    <t>Riesgo y mínimo privilegio</t>
  </si>
  <si>
    <t>Adecuado</t>
  </si>
  <si>
    <t>Sin tratamiento</t>
  </si>
  <si>
    <t>Continuidad y resiliencia</t>
  </si>
  <si>
    <t>Elimina SPOF y demuestra recuperación</t>
  </si>
  <si>
    <t>Considera redundancia</t>
  </si>
  <si>
    <t>No considera fallas</t>
  </si>
  <si>
    <t>Implementación / prototipo</t>
  </si>
  <si>
    <t>Representativo, estable y documentado</t>
  </si>
  <si>
    <t>Funcional</t>
  </si>
  <si>
    <t>Limitado</t>
  </si>
  <si>
    <t>No demuestra</t>
  </si>
  <si>
    <t>Pruebas y métricas</t>
  </si>
  <si>
    <t>Reproducibles y cuantitativas</t>
  </si>
  <si>
    <t>Suficientes</t>
  </si>
  <si>
    <t>Superficiales</t>
  </si>
  <si>
    <t>Sin evidencia</t>
  </si>
  <si>
    <t>Viabilidad económica</t>
  </si>
  <si>
    <t>BOM realista y priorizado</t>
  </si>
  <si>
    <t>Razonable</t>
  </si>
  <si>
    <t>Incompleto</t>
  </si>
  <si>
    <t>Ignora presupuesto</t>
  </si>
  <si>
    <t>Documentación</t>
  </si>
  <si>
    <t>HLD/LLD profesionales</t>
  </si>
  <si>
    <t>Adecuada</t>
  </si>
  <si>
    <t>Incompleta</t>
  </si>
  <si>
    <t>No operable</t>
  </si>
  <si>
    <t>Defensa profesional</t>
  </si>
  <si>
    <t>Defiende y responde cambios</t>
  </si>
  <si>
    <t>Correcta</t>
  </si>
  <si>
    <t>Débil</t>
  </si>
  <si>
    <t>No sustenta</t>
  </si>
  <si>
    <t>RESULTADO FINAL (escala 1 a 4)</t>
  </si>
  <si>
    <t>Alumno</t>
  </si>
  <si>
    <t>Caso ID</t>
  </si>
  <si>
    <t>Hito actual</t>
  </si>
  <si>
    <t>Última revisión</t>
  </si>
  <si>
    <t>Riesgo / bloqueo</t>
  </si>
  <si>
    <t>Próxima 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</si>
</sst>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i/>
      <sz val="11"/>
      <color rgb="FF7F6000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wrapText="1"/>
    </xf>
    <xf numFmtId="9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vertical="center"/>
    </xf>
    <xf numFmtId="0" fontId="3" fillId="4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6" borderId="0" xfId="0" applyNumberFormat="1" applyFont="1" applyFill="1" applyBorder="1" applyAlignment="1">
      <alignment wrapText="1"/>
    </xf>
    <xf numFmtId="164" fontId="0" fillId="6" borderId="0" xfId="0" applyNumberFormat="1" applyFont="1" applyFill="1" applyBorder="1" applyAlignment="1">
      <alignment wrapText="1"/>
    </xf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resasCapstone" displayName="EmpresasCapstone" ref="A1:J16" totalsRowShown="0">
  <tableColumns count="10">
    <tableColumn id="1" xr3:uid="{00000000-0010-0000-0000-000001000000}" name="ID"/>
    <tableColumn id="2" xr3:uid="{00000000-0010-0000-0000-000002000000}" name="Empresa ficticia"/>
    <tableColumn id="3" xr3:uid="{00000000-0010-0000-0000-000003000000}" name="Industria"/>
    <tableColumn id="4" xr3:uid="{00000000-0010-0000-0000-000004000000}" name="Trabajadores"/>
    <tableColumn id="5" xr3:uid="{00000000-0010-0000-0000-000005000000}" name="Sedes"/>
    <tableColumn id="6" xr3:uid="{00000000-0010-0000-0000-000006000000}" name="Usuarios TI aprox."/>
    <tableColumn id="7" xr3:uid="{00000000-0010-0000-0000-000007000000}" name="Servicios críticos"/>
    <tableColumn id="8" xr3:uid="{00000000-0010-0000-0000-000008000000}" name="Problema principal"/>
    <tableColumn id="9" xr3:uid="{00000000-0010-0000-0000-000009000000}" name="Presupuesto CLP"/>
    <tableColumn id="10" xr3:uid="{00000000-0010-0000-0000-00000A000000}" name="Horizo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chasCasos" displayName="FichasCasos" ref="A1:J16" totalsRowShown="0">
  <tableColumns count="10">
    <tableColumn id="1" xr3:uid="{00000000-0010-0000-0100-000001000000}" name="ID"/>
    <tableColumn id="2" xr3:uid="{00000000-0010-0000-0100-000002000000}" name="Empresa"/>
    <tableColumn id="3" xr3:uid="{00000000-0010-0000-0100-000003000000}" name="Situación actual"/>
    <tableColumn id="4" xr3:uid="{00000000-0010-0000-0100-000004000000}" name="Infraestructura existente"/>
    <tableColumn id="5" xr3:uid="{00000000-0010-0000-0100-000005000000}" name="Problemas conocidos"/>
    <tableColumn id="6" xr3:uid="{00000000-0010-0000-0100-000006000000}" name="Restricciones"/>
    <tableColumn id="7" xr3:uid="{00000000-0010-0000-0100-000007000000}" name="Crecimiento esperado"/>
    <tableColumn id="8" xr3:uid="{00000000-0010-0000-0100-000008000000}" name="Evento sorpresa 1"/>
    <tableColumn id="9" xr3:uid="{00000000-0010-0000-0100-000009000000}" name="Evento sorpresa 2"/>
    <tableColumn id="10" xr3:uid="{00000000-0010-0000-0100-00000A000000}" name="Objetivo del cli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osTecnicos" displayName="DatosTecnicos" ref="A1:I16" totalsRowShown="0">
  <tableColumns count="9">
    <tableColumn id="1" xr3:uid="{00000000-0010-0000-0200-000001000000}" name="ID"/>
    <tableColumn id="2" xr3:uid="{00000000-0010-0000-0200-000002000000}" name="Empresa"/>
    <tableColumn id="3" xr3:uid="{00000000-0010-0000-0200-000003000000}" name="Red base"/>
    <tableColumn id="4" xr3:uid="{00000000-0010-0000-0200-000004000000}" name="Internet/WAN actual"/>
    <tableColumn id="5" xr3:uid="{00000000-0010-0000-0200-000005000000}" name="Switching/WLAN"/>
    <tableColumn id="6" xr3:uid="{00000000-0010-0000-0200-000006000000}" name="Seguridad actual"/>
    <tableColumn id="7" xr3:uid="{00000000-0010-0000-0200-000007000000}" name="Monitoreo"/>
    <tableColumn id="8" xr3:uid="{00000000-0010-0000-0200-000008000000}" name="Disponibilidad objetivo"/>
    <tableColumn id="9" xr3:uid="{00000000-0010-0000-0200-000009000000}" name="Métricas mínim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itosCapstone" displayName="HitosCapstone" ref="A1:F9" totalsRowShown="0">
  <tableColumns count="6">
    <tableColumn id="1" xr3:uid="{00000000-0010-0000-0300-000001000000}" name="Hito"/>
    <tableColumn id="2" xr3:uid="{00000000-0010-0000-0300-000002000000}" name="Producto esperado"/>
    <tableColumn id="3" xr3:uid="{00000000-0010-0000-0300-000003000000}" name="Contenido mínimo"/>
    <tableColumn id="4" xr3:uid="{00000000-0010-0000-0300-000004000000}" name="Ponderación"/>
    <tableColumn id="5" xr3:uid="{00000000-0010-0000-0300-000005000000}" name="Estado"/>
    <tableColumn id="6" xr3:uid="{00000000-0010-0000-0300-000006000000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lanPruebas" displayName="PlanPruebas" ref="A1:J9" totalsRowShown="0">
  <tableColumns count="10">
    <tableColumn id="1" xr3:uid="{00000000-0010-0000-0400-000001000000}" name="ID"/>
    <tableColumn id="2" xr3:uid="{00000000-0010-0000-0400-000002000000}" name="Prueba"/>
    <tableColumn id="3" xr3:uid="{00000000-0010-0000-0400-000003000000}" name="Objetivo"/>
    <tableColumn id="4" xr3:uid="{00000000-0010-0000-0400-000004000000}" name="Condición inicial"/>
    <tableColumn id="5" xr3:uid="{00000000-0010-0000-0400-000005000000}" name="Acción / falla inducida"/>
    <tableColumn id="6" xr3:uid="{00000000-0010-0000-0400-000006000000}" name="Métrica"/>
    <tableColumn id="7" xr3:uid="{00000000-0010-0000-0400-000007000000}" name="Umbral esperado"/>
    <tableColumn id="8" xr3:uid="{00000000-0010-0000-0400-000008000000}" name="Resultado"/>
    <tableColumn id="9" xr3:uid="{00000000-0010-0000-0400-000009000000}" name="Cumple"/>
    <tableColumn id="10" xr3:uid="{00000000-0010-0000-0400-00000A000000}" name="Evid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sqref="A1:H1"/>
    </sheetView>
  </sheetViews>
  <sheetFormatPr baseColWidth="10" defaultColWidth="9" defaultRowHeight="14.25"/>
  <cols>
    <col min="1" max="1" width="24" customWidth="1"/>
    <col min="2" max="2" width="95" customWidth="1"/>
  </cols>
  <sheetData>
    <row r="1" spans="1:8" ht="20.25">
      <c r="A1" s="7" t="s">
        <v>0</v>
      </c>
      <c r="B1" s="7"/>
      <c r="C1" s="7"/>
      <c r="D1" s="7"/>
      <c r="E1" s="7"/>
      <c r="F1" s="7"/>
      <c r="G1" s="7"/>
      <c r="H1" s="7"/>
    </row>
    <row r="3" spans="1:8" ht="28.5">
      <c r="A3" s="1" t="s">
        <v>1</v>
      </c>
      <c r="B3" s="2" t="s">
        <v>2</v>
      </c>
    </row>
    <row r="4" spans="1:8" ht="28.5">
      <c r="A4" s="1" t="s">
        <v>3</v>
      </c>
      <c r="B4" s="2" t="s">
        <v>4</v>
      </c>
    </row>
    <row r="5" spans="1:8" ht="15">
      <c r="A5" s="1" t="s">
        <v>5</v>
      </c>
      <c r="B5" s="2" t="s">
        <v>6</v>
      </c>
    </row>
    <row r="6" spans="1:8" ht="15">
      <c r="A6" s="1" t="s">
        <v>7</v>
      </c>
      <c r="B6" s="2" t="s">
        <v>8</v>
      </c>
    </row>
    <row r="7" spans="1:8" ht="15">
      <c r="A7" s="1" t="s">
        <v>9</v>
      </c>
      <c r="B7" s="2" t="s">
        <v>10</v>
      </c>
    </row>
    <row r="8" spans="1:8" ht="15">
      <c r="A8" s="1" t="s">
        <v>11</v>
      </c>
      <c r="B8" s="2" t="s">
        <v>12</v>
      </c>
    </row>
    <row r="9" spans="1:8" ht="15">
      <c r="A9" s="1" t="s">
        <v>13</v>
      </c>
      <c r="B9" s="2" t="s">
        <v>14</v>
      </c>
    </row>
    <row r="10" spans="1:8" ht="15">
      <c r="A10" s="1" t="s">
        <v>15</v>
      </c>
      <c r="B10" s="2" t="s">
        <v>16</v>
      </c>
    </row>
    <row r="11" spans="1:8" ht="15">
      <c r="A11" s="1" t="s">
        <v>17</v>
      </c>
      <c r="B11" s="2" t="s">
        <v>18</v>
      </c>
    </row>
    <row r="12" spans="1:8" ht="28.5">
      <c r="A12" s="1" t="s">
        <v>19</v>
      </c>
      <c r="B12" s="2" t="s">
        <v>20</v>
      </c>
    </row>
    <row r="14" spans="1:8">
      <c r="A14" s="8" t="s">
        <v>21</v>
      </c>
      <c r="B14" s="8"/>
      <c r="C14" s="8"/>
      <c r="D14" s="8"/>
      <c r="E14" s="8"/>
      <c r="F14" s="8"/>
      <c r="G14" s="8"/>
      <c r="H14" s="8"/>
    </row>
  </sheetData>
  <mergeCells count="2">
    <mergeCell ref="A1:H1"/>
    <mergeCell ref="A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opLeftCell="B1" zoomScale="190" zoomScaleNormal="190" workbookViewId="0">
      <selection activeCell="B2" sqref="B2"/>
    </sheetView>
  </sheetViews>
  <sheetFormatPr baseColWidth="10" defaultColWidth="9" defaultRowHeight="14.25"/>
  <cols>
    <col min="1" max="1" width="7" customWidth="1"/>
    <col min="2" max="2" width="28" customWidth="1"/>
    <col min="3" max="3" width="24" customWidth="1"/>
    <col min="4" max="4" width="13" customWidth="1"/>
    <col min="5" max="5" width="9" customWidth="1"/>
    <col min="6" max="6" width="17" customWidth="1"/>
    <col min="7" max="7" width="42" customWidth="1"/>
    <col min="8" max="8" width="55" customWidth="1"/>
    <col min="9" max="9" width="18" customWidth="1"/>
    <col min="10" max="10" width="12" customWidth="1"/>
  </cols>
  <sheetData>
    <row r="1" spans="1:10" ht="30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</row>
    <row r="2" spans="1:10">
      <c r="A2" s="2">
        <v>1</v>
      </c>
      <c r="B2" s="2" t="s">
        <v>32</v>
      </c>
      <c r="C2" s="2" t="s">
        <v>33</v>
      </c>
      <c r="D2" s="2">
        <v>620</v>
      </c>
      <c r="E2" s="2">
        <v>18</v>
      </c>
      <c r="F2" s="2">
        <v>480</v>
      </c>
      <c r="G2" s="2" t="s">
        <v>34</v>
      </c>
      <c r="H2" s="2" t="s">
        <v>35</v>
      </c>
      <c r="I2" s="4">
        <v>85000000</v>
      </c>
      <c r="J2" s="2" t="s">
        <v>36</v>
      </c>
    </row>
    <row r="3" spans="1:10">
      <c r="A3" s="2">
        <v>2</v>
      </c>
      <c r="B3" s="2" t="s">
        <v>37</v>
      </c>
      <c r="C3" s="2" t="s">
        <v>38</v>
      </c>
      <c r="D3" s="2">
        <v>350</v>
      </c>
      <c r="E3" s="2">
        <v>2</v>
      </c>
      <c r="F3" s="2">
        <v>290</v>
      </c>
      <c r="G3" s="2" t="s">
        <v>39</v>
      </c>
      <c r="H3" s="2" t="s">
        <v>40</v>
      </c>
      <c r="I3" s="4">
        <v>55000000</v>
      </c>
      <c r="J3" s="2" t="s">
        <v>36</v>
      </c>
    </row>
    <row r="4" spans="1:10">
      <c r="A4" s="2">
        <v>3</v>
      </c>
      <c r="B4" s="2" t="s">
        <v>41</v>
      </c>
      <c r="C4" s="2" t="s">
        <v>42</v>
      </c>
      <c r="D4" s="2">
        <v>410</v>
      </c>
      <c r="E4" s="2">
        <v>7</v>
      </c>
      <c r="F4" s="2">
        <v>300</v>
      </c>
      <c r="G4" s="2" t="s">
        <v>43</v>
      </c>
      <c r="H4" s="2" t="s">
        <v>44</v>
      </c>
      <c r="I4" s="4">
        <v>72000000</v>
      </c>
      <c r="J4" s="2" t="s">
        <v>45</v>
      </c>
    </row>
    <row r="5" spans="1:10" s="12" customFormat="1">
      <c r="A5" s="10">
        <v>4</v>
      </c>
      <c r="B5" s="10" t="s">
        <v>46</v>
      </c>
      <c r="C5" s="10" t="s">
        <v>47</v>
      </c>
      <c r="D5" s="10">
        <v>520</v>
      </c>
      <c r="E5" s="10">
        <v>4</v>
      </c>
      <c r="F5" s="10">
        <v>360</v>
      </c>
      <c r="G5" s="10" t="s">
        <v>48</v>
      </c>
      <c r="H5" s="10" t="s">
        <v>49</v>
      </c>
      <c r="I5" s="11">
        <v>140000000</v>
      </c>
      <c r="J5" s="10" t="s">
        <v>36</v>
      </c>
    </row>
    <row r="6" spans="1:10">
      <c r="A6" s="2">
        <v>5</v>
      </c>
      <c r="B6" s="2" t="s">
        <v>50</v>
      </c>
      <c r="C6" s="2" t="s">
        <v>51</v>
      </c>
      <c r="D6" s="2">
        <v>2200</v>
      </c>
      <c r="E6" s="2">
        <v>5</v>
      </c>
      <c r="F6" s="2">
        <v>4800</v>
      </c>
      <c r="G6" s="2" t="s">
        <v>52</v>
      </c>
      <c r="H6" s="2" t="s">
        <v>53</v>
      </c>
      <c r="I6" s="4">
        <v>110000000</v>
      </c>
      <c r="J6" s="2" t="s">
        <v>36</v>
      </c>
    </row>
    <row r="7" spans="1:10">
      <c r="A7" s="10">
        <v>6</v>
      </c>
      <c r="B7" s="10" t="s">
        <v>54</v>
      </c>
      <c r="C7" s="2" t="s">
        <v>55</v>
      </c>
      <c r="D7" s="2">
        <v>780</v>
      </c>
      <c r="E7" s="2">
        <v>22</v>
      </c>
      <c r="F7" s="2">
        <v>650</v>
      </c>
      <c r="G7" s="2" t="s">
        <v>56</v>
      </c>
      <c r="H7" s="2" t="s">
        <v>57</v>
      </c>
      <c r="I7" s="4">
        <v>160000000</v>
      </c>
      <c r="J7" s="2" t="s">
        <v>36</v>
      </c>
    </row>
    <row r="8" spans="1:10">
      <c r="A8" s="2">
        <v>7</v>
      </c>
      <c r="B8" s="2" t="s">
        <v>58</v>
      </c>
      <c r="C8" s="2" t="s">
        <v>59</v>
      </c>
      <c r="D8" s="2">
        <v>460</v>
      </c>
      <c r="E8" s="2">
        <v>8</v>
      </c>
      <c r="F8" s="2">
        <v>390</v>
      </c>
      <c r="G8" s="2" t="s">
        <v>60</v>
      </c>
      <c r="H8" s="2" t="s">
        <v>61</v>
      </c>
      <c r="I8" s="4">
        <v>65000000</v>
      </c>
      <c r="J8" s="2" t="s">
        <v>45</v>
      </c>
    </row>
    <row r="9" spans="1:10" s="13" customFormat="1">
      <c r="A9" s="2">
        <v>8</v>
      </c>
      <c r="B9" s="2" t="s">
        <v>62</v>
      </c>
      <c r="C9" s="2" t="s">
        <v>63</v>
      </c>
      <c r="D9" s="2">
        <v>700</v>
      </c>
      <c r="E9" s="2">
        <v>25</v>
      </c>
      <c r="F9" s="2">
        <v>560</v>
      </c>
      <c r="G9" s="2" t="s">
        <v>64</v>
      </c>
      <c r="H9" s="2" t="s">
        <v>65</v>
      </c>
      <c r="I9" s="4">
        <v>95000000</v>
      </c>
      <c r="J9" s="2" t="s">
        <v>36</v>
      </c>
    </row>
    <row r="10" spans="1:10" s="12" customFormat="1">
      <c r="A10" s="10">
        <v>9</v>
      </c>
      <c r="B10" s="10" t="s">
        <v>66</v>
      </c>
      <c r="C10" s="10" t="s">
        <v>67</v>
      </c>
      <c r="D10" s="10">
        <v>430</v>
      </c>
      <c r="E10" s="10">
        <v>1</v>
      </c>
      <c r="F10" s="10">
        <v>310</v>
      </c>
      <c r="G10" s="10" t="s">
        <v>68</v>
      </c>
      <c r="H10" s="10" t="s">
        <v>69</v>
      </c>
      <c r="I10" s="11">
        <v>90000000</v>
      </c>
      <c r="J10" s="10" t="s">
        <v>36</v>
      </c>
    </row>
    <row r="11" spans="1:10">
      <c r="A11" s="2">
        <v>10</v>
      </c>
      <c r="B11" s="2" t="s">
        <v>70</v>
      </c>
      <c r="C11" s="2" t="s">
        <v>71</v>
      </c>
      <c r="D11" s="2">
        <v>380</v>
      </c>
      <c r="E11" s="2">
        <v>2</v>
      </c>
      <c r="F11" s="2">
        <v>260</v>
      </c>
      <c r="G11" s="2" t="s">
        <v>72</v>
      </c>
      <c r="H11" s="2" t="s">
        <v>73</v>
      </c>
      <c r="I11" s="4">
        <v>105000000</v>
      </c>
      <c r="J11" s="2" t="s">
        <v>36</v>
      </c>
    </row>
    <row r="12" spans="1:10" s="12" customFormat="1">
      <c r="A12" s="10">
        <v>11</v>
      </c>
      <c r="B12" s="10" t="s">
        <v>74</v>
      </c>
      <c r="C12" s="10" t="s">
        <v>75</v>
      </c>
      <c r="D12" s="10">
        <v>210</v>
      </c>
      <c r="E12" s="10">
        <v>1</v>
      </c>
      <c r="F12" s="10">
        <v>520</v>
      </c>
      <c r="G12" s="10" t="s">
        <v>76</v>
      </c>
      <c r="H12" s="10" t="s">
        <v>77</v>
      </c>
      <c r="I12" s="11">
        <v>42000000</v>
      </c>
      <c r="J12" s="10" t="s">
        <v>45</v>
      </c>
    </row>
    <row r="13" spans="1:10" s="12" customFormat="1">
      <c r="A13" s="10">
        <v>12</v>
      </c>
      <c r="B13" s="10" t="s">
        <v>78</v>
      </c>
      <c r="C13" s="10" t="s">
        <v>79</v>
      </c>
      <c r="D13" s="10">
        <v>240</v>
      </c>
      <c r="E13" s="10">
        <v>2</v>
      </c>
      <c r="F13" s="10">
        <v>310</v>
      </c>
      <c r="G13" s="10" t="s">
        <v>80</v>
      </c>
      <c r="H13" s="10" t="s">
        <v>81</v>
      </c>
      <c r="I13" s="11">
        <v>60000000</v>
      </c>
      <c r="J13" s="10" t="s">
        <v>45</v>
      </c>
    </row>
    <row r="14" spans="1:10">
      <c r="A14" s="2">
        <v>13</v>
      </c>
      <c r="B14" s="2" t="s">
        <v>82</v>
      </c>
      <c r="C14" s="2" t="s">
        <v>83</v>
      </c>
      <c r="D14" s="2">
        <v>390</v>
      </c>
      <c r="E14" s="2">
        <v>2</v>
      </c>
      <c r="F14" s="2">
        <v>430</v>
      </c>
      <c r="G14" s="2" t="s">
        <v>84</v>
      </c>
      <c r="H14" s="2" t="s">
        <v>85</v>
      </c>
      <c r="I14" s="4">
        <v>48000000</v>
      </c>
      <c r="J14" s="2" t="s">
        <v>86</v>
      </c>
    </row>
    <row r="15" spans="1:10">
      <c r="A15" s="2">
        <v>14</v>
      </c>
      <c r="B15" s="2" t="s">
        <v>87</v>
      </c>
      <c r="C15" s="2" t="s">
        <v>88</v>
      </c>
      <c r="D15" s="2">
        <v>610</v>
      </c>
      <c r="E15" s="2">
        <v>3</v>
      </c>
      <c r="F15" s="2">
        <v>450</v>
      </c>
      <c r="G15" s="2" t="s">
        <v>89</v>
      </c>
      <c r="H15" s="2" t="s">
        <v>90</v>
      </c>
      <c r="I15" s="4">
        <v>135000000</v>
      </c>
      <c r="J15" s="2" t="s">
        <v>36</v>
      </c>
    </row>
    <row r="16" spans="1:10" s="12" customFormat="1">
      <c r="A16" s="10">
        <v>15</v>
      </c>
      <c r="B16" s="10" t="s">
        <v>91</v>
      </c>
      <c r="C16" s="10" t="s">
        <v>92</v>
      </c>
      <c r="D16" s="10">
        <v>520</v>
      </c>
      <c r="E16" s="10">
        <v>3</v>
      </c>
      <c r="F16" s="10">
        <v>610</v>
      </c>
      <c r="G16" s="10" t="s">
        <v>93</v>
      </c>
      <c r="H16" s="10" t="s">
        <v>94</v>
      </c>
      <c r="I16" s="11">
        <v>50000000</v>
      </c>
      <c r="J16" s="10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abSelected="1" workbookViewId="0">
      <selection activeCell="A3" sqref="A3"/>
    </sheetView>
  </sheetViews>
  <sheetFormatPr baseColWidth="10" defaultColWidth="9" defaultRowHeight="14.25"/>
  <cols>
    <col min="1" max="1" width="6" customWidth="1"/>
    <col min="2" max="2" width="26" customWidth="1"/>
    <col min="3" max="3" width="55" customWidth="1"/>
    <col min="4" max="4" width="65" customWidth="1"/>
    <col min="5" max="5" width="55" customWidth="1"/>
    <col min="6" max="6" width="52" customWidth="1"/>
    <col min="7" max="7" width="35" customWidth="1"/>
    <col min="8" max="9" width="48" customWidth="1"/>
    <col min="10" max="10" width="55" customWidth="1"/>
  </cols>
  <sheetData>
    <row r="1" spans="1:10" ht="15">
      <c r="A1" s="3" t="s">
        <v>22</v>
      </c>
      <c r="B1" s="3" t="s">
        <v>95</v>
      </c>
      <c r="C1" s="3" t="s">
        <v>96</v>
      </c>
      <c r="D1" s="3" t="s">
        <v>97</v>
      </c>
      <c r="E1" s="3" t="s">
        <v>98</v>
      </c>
      <c r="F1" s="3" t="s">
        <v>99</v>
      </c>
      <c r="G1" s="3" t="s">
        <v>100</v>
      </c>
      <c r="H1" s="3" t="s">
        <v>101</v>
      </c>
      <c r="I1" s="3" t="s">
        <v>102</v>
      </c>
      <c r="J1" s="3" t="s">
        <v>103</v>
      </c>
    </row>
    <row r="2" spans="1:10" ht="28.5">
      <c r="A2" s="2">
        <v>1</v>
      </c>
      <c r="B2" s="2" t="s">
        <v>32</v>
      </c>
      <c r="C2" s="2" t="s">
        <v>104</v>
      </c>
      <c r="D2" s="2" t="s">
        <v>105</v>
      </c>
      <c r="E2" s="2" t="s">
        <v>106</v>
      </c>
      <c r="F2" s="2" t="s">
        <v>107</v>
      </c>
      <c r="G2" s="2" t="s">
        <v>108</v>
      </c>
      <c r="H2" s="2" t="s">
        <v>109</v>
      </c>
      <c r="I2" s="2" t="s">
        <v>110</v>
      </c>
      <c r="J2" s="2" t="s">
        <v>111</v>
      </c>
    </row>
    <row r="3" spans="1:10" ht="28.5">
      <c r="A3" s="2">
        <v>2</v>
      </c>
      <c r="B3" s="2" t="s">
        <v>37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</row>
    <row r="4" spans="1:10" ht="28.5">
      <c r="A4" s="2">
        <v>3</v>
      </c>
      <c r="B4" s="2" t="s">
        <v>41</v>
      </c>
      <c r="C4" s="2" t="s">
        <v>120</v>
      </c>
      <c r="D4" s="2" t="s">
        <v>121</v>
      </c>
      <c r="E4" s="2" t="s">
        <v>122</v>
      </c>
      <c r="F4" s="2" t="s">
        <v>123</v>
      </c>
      <c r="G4" s="2" t="s">
        <v>124</v>
      </c>
      <c r="H4" s="2" t="s">
        <v>125</v>
      </c>
      <c r="I4" s="2" t="s">
        <v>126</v>
      </c>
      <c r="J4" s="2" t="s">
        <v>127</v>
      </c>
    </row>
    <row r="5" spans="1:10">
      <c r="A5" s="2">
        <v>4</v>
      </c>
      <c r="B5" s="2" t="s">
        <v>46</v>
      </c>
      <c r="C5" s="2" t="s">
        <v>128</v>
      </c>
      <c r="D5" s="2" t="s">
        <v>129</v>
      </c>
      <c r="E5" s="2" t="s">
        <v>130</v>
      </c>
      <c r="F5" s="2" t="s">
        <v>131</v>
      </c>
      <c r="G5" s="2" t="s">
        <v>132</v>
      </c>
      <c r="H5" s="2" t="s">
        <v>133</v>
      </c>
      <c r="I5" s="2" t="s">
        <v>134</v>
      </c>
      <c r="J5" s="2" t="s">
        <v>135</v>
      </c>
    </row>
    <row r="6" spans="1:10">
      <c r="A6" s="2">
        <v>5</v>
      </c>
      <c r="B6" s="2" t="s">
        <v>50</v>
      </c>
      <c r="C6" s="2" t="s">
        <v>136</v>
      </c>
      <c r="D6" s="2" t="s">
        <v>137</v>
      </c>
      <c r="E6" s="2" t="s">
        <v>138</v>
      </c>
      <c r="F6" s="2" t="s">
        <v>139</v>
      </c>
      <c r="G6" s="2" t="s">
        <v>140</v>
      </c>
      <c r="H6" s="2" t="s">
        <v>141</v>
      </c>
      <c r="I6" s="2" t="s">
        <v>142</v>
      </c>
      <c r="J6" s="2" t="s">
        <v>143</v>
      </c>
    </row>
    <row r="7" spans="1:10">
      <c r="A7" s="2">
        <v>6</v>
      </c>
      <c r="B7" s="2" t="s">
        <v>54</v>
      </c>
      <c r="C7" s="2" t="s">
        <v>144</v>
      </c>
      <c r="D7" s="2" t="s">
        <v>145</v>
      </c>
      <c r="E7" s="2" t="s">
        <v>146</v>
      </c>
      <c r="F7" s="2" t="s">
        <v>147</v>
      </c>
      <c r="G7" s="2" t="s">
        <v>148</v>
      </c>
      <c r="H7" s="2" t="s">
        <v>149</v>
      </c>
      <c r="I7" s="2" t="s">
        <v>150</v>
      </c>
      <c r="J7" s="2" t="s">
        <v>151</v>
      </c>
    </row>
    <row r="8" spans="1:10" ht="28.5">
      <c r="A8" s="2">
        <v>7</v>
      </c>
      <c r="B8" s="2" t="s">
        <v>58</v>
      </c>
      <c r="C8" s="2" t="s">
        <v>152</v>
      </c>
      <c r="D8" s="2" t="s">
        <v>153</v>
      </c>
      <c r="E8" s="2" t="s">
        <v>154</v>
      </c>
      <c r="F8" s="2" t="s">
        <v>155</v>
      </c>
      <c r="G8" s="2" t="s">
        <v>156</v>
      </c>
      <c r="H8" s="2" t="s">
        <v>157</v>
      </c>
      <c r="I8" s="2" t="s">
        <v>158</v>
      </c>
      <c r="J8" s="2" t="s">
        <v>159</v>
      </c>
    </row>
    <row r="9" spans="1:10">
      <c r="A9" s="2">
        <v>8</v>
      </c>
      <c r="B9" s="2" t="s">
        <v>62</v>
      </c>
      <c r="C9" s="2" t="s">
        <v>160</v>
      </c>
      <c r="D9" s="2" t="s">
        <v>161</v>
      </c>
      <c r="E9" s="2" t="s">
        <v>162</v>
      </c>
      <c r="F9" s="2" t="s">
        <v>163</v>
      </c>
      <c r="G9" s="2" t="s">
        <v>164</v>
      </c>
      <c r="H9" s="2" t="s">
        <v>165</v>
      </c>
      <c r="I9" s="2" t="s">
        <v>166</v>
      </c>
      <c r="J9" s="2" t="s">
        <v>167</v>
      </c>
    </row>
    <row r="10" spans="1:10" ht="28.5">
      <c r="A10" s="2">
        <v>9</v>
      </c>
      <c r="B10" s="2" t="s">
        <v>66</v>
      </c>
      <c r="C10" s="2" t="s">
        <v>168</v>
      </c>
      <c r="D10" s="2" t="s">
        <v>169</v>
      </c>
      <c r="E10" s="2" t="s">
        <v>170</v>
      </c>
      <c r="F10" s="2" t="s">
        <v>171</v>
      </c>
      <c r="G10" s="2" t="s">
        <v>172</v>
      </c>
      <c r="H10" s="2" t="s">
        <v>173</v>
      </c>
      <c r="I10" s="2" t="s">
        <v>174</v>
      </c>
      <c r="J10" s="2" t="s">
        <v>175</v>
      </c>
    </row>
    <row r="11" spans="1:10">
      <c r="A11" s="2">
        <v>10</v>
      </c>
      <c r="B11" s="2" t="s">
        <v>70</v>
      </c>
      <c r="C11" s="2" t="s">
        <v>176</v>
      </c>
      <c r="D11" s="2" t="s">
        <v>177</v>
      </c>
      <c r="E11" s="2" t="s">
        <v>178</v>
      </c>
      <c r="F11" s="2" t="s">
        <v>179</v>
      </c>
      <c r="G11" s="2" t="s">
        <v>180</v>
      </c>
      <c r="H11" s="2" t="s">
        <v>181</v>
      </c>
      <c r="I11" s="2" t="s">
        <v>182</v>
      </c>
      <c r="J11" s="2" t="s">
        <v>183</v>
      </c>
    </row>
    <row r="12" spans="1:10">
      <c r="A12" s="2">
        <v>11</v>
      </c>
      <c r="B12" s="2" t="s">
        <v>74</v>
      </c>
      <c r="C12" s="2" t="s">
        <v>184</v>
      </c>
      <c r="D12" s="2" t="s">
        <v>185</v>
      </c>
      <c r="E12" s="2" t="s">
        <v>186</v>
      </c>
      <c r="F12" s="2" t="s">
        <v>187</v>
      </c>
      <c r="G12" s="2" t="s">
        <v>188</v>
      </c>
      <c r="H12" s="2" t="s">
        <v>189</v>
      </c>
      <c r="I12" s="2" t="s">
        <v>190</v>
      </c>
      <c r="J12" s="2" t="s">
        <v>191</v>
      </c>
    </row>
    <row r="13" spans="1:10" ht="28.5">
      <c r="A13" s="2">
        <v>12</v>
      </c>
      <c r="B13" s="2" t="s">
        <v>78</v>
      </c>
      <c r="C13" s="2" t="s">
        <v>192</v>
      </c>
      <c r="D13" s="2" t="s">
        <v>193</v>
      </c>
      <c r="E13" s="2" t="s">
        <v>194</v>
      </c>
      <c r="F13" s="2" t="s">
        <v>195</v>
      </c>
      <c r="G13" s="2" t="s">
        <v>196</v>
      </c>
      <c r="H13" s="2" t="s">
        <v>197</v>
      </c>
      <c r="I13" s="2" t="s">
        <v>198</v>
      </c>
      <c r="J13" s="2" t="s">
        <v>199</v>
      </c>
    </row>
    <row r="14" spans="1:10">
      <c r="A14" s="2">
        <v>13</v>
      </c>
      <c r="B14" s="2" t="s">
        <v>82</v>
      </c>
      <c r="C14" s="2" t="s">
        <v>200</v>
      </c>
      <c r="D14" s="2" t="s">
        <v>201</v>
      </c>
      <c r="E14" s="2" t="s">
        <v>202</v>
      </c>
      <c r="F14" s="2" t="s">
        <v>203</v>
      </c>
      <c r="G14" s="2" t="s">
        <v>204</v>
      </c>
      <c r="H14" s="2" t="s">
        <v>205</v>
      </c>
      <c r="I14" s="2" t="s">
        <v>206</v>
      </c>
      <c r="J14" s="2" t="s">
        <v>207</v>
      </c>
    </row>
    <row r="15" spans="1:10">
      <c r="A15" s="2">
        <v>14</v>
      </c>
      <c r="B15" s="2" t="s">
        <v>87</v>
      </c>
      <c r="C15" s="2" t="s">
        <v>208</v>
      </c>
      <c r="D15" s="2" t="s">
        <v>209</v>
      </c>
      <c r="E15" s="2" t="s">
        <v>210</v>
      </c>
      <c r="F15" s="2" t="s">
        <v>211</v>
      </c>
      <c r="G15" s="2" t="s">
        <v>212</v>
      </c>
      <c r="H15" s="2" t="s">
        <v>213</v>
      </c>
      <c r="I15" s="2" t="s">
        <v>214</v>
      </c>
      <c r="J15" s="2" t="s">
        <v>215</v>
      </c>
    </row>
    <row r="16" spans="1:10">
      <c r="A16" s="2">
        <v>15</v>
      </c>
      <c r="B16" s="2" t="s">
        <v>91</v>
      </c>
      <c r="C16" s="2" t="s">
        <v>216</v>
      </c>
      <c r="D16" s="2" t="s">
        <v>217</v>
      </c>
      <c r="E16" s="2" t="s">
        <v>218</v>
      </c>
      <c r="F16" s="2" t="s">
        <v>219</v>
      </c>
      <c r="G16" s="2" t="s">
        <v>220</v>
      </c>
      <c r="H16" s="2" t="s">
        <v>221</v>
      </c>
      <c r="I16" s="2" t="s">
        <v>222</v>
      </c>
      <c r="J16" s="2" t="s">
        <v>223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D37" sqref="D37"/>
    </sheetView>
  </sheetViews>
  <sheetFormatPr baseColWidth="10" defaultColWidth="9" defaultRowHeight="14.25"/>
  <cols>
    <col min="1" max="1" width="6" customWidth="1"/>
    <col min="2" max="2" width="25" customWidth="1"/>
    <col min="3" max="3" width="18" customWidth="1"/>
    <col min="4" max="5" width="36" customWidth="1"/>
    <col min="6" max="6" width="35" customWidth="1"/>
    <col min="7" max="7" width="30" customWidth="1"/>
    <col min="8" max="8" width="28" customWidth="1"/>
    <col min="9" max="9" width="50" customWidth="1"/>
  </cols>
  <sheetData>
    <row r="1" spans="1:9" ht="15">
      <c r="A1" s="3" t="s">
        <v>22</v>
      </c>
      <c r="B1" s="3" t="s">
        <v>95</v>
      </c>
      <c r="C1" s="3" t="s">
        <v>224</v>
      </c>
      <c r="D1" s="3" t="s">
        <v>225</v>
      </c>
      <c r="E1" s="3" t="s">
        <v>226</v>
      </c>
      <c r="F1" s="3" t="s">
        <v>227</v>
      </c>
      <c r="G1" s="3" t="s">
        <v>228</v>
      </c>
      <c r="H1" s="3" t="s">
        <v>229</v>
      </c>
      <c r="I1" s="3" t="s">
        <v>230</v>
      </c>
    </row>
    <row r="2" spans="1:9">
      <c r="A2" s="2">
        <v>1</v>
      </c>
      <c r="B2" s="2" t="s">
        <v>32</v>
      </c>
      <c r="C2" s="2" t="s">
        <v>231</v>
      </c>
      <c r="D2" s="2" t="s">
        <v>232</v>
      </c>
      <c r="E2" s="2" t="s">
        <v>233</v>
      </c>
      <c r="F2" s="2" t="s">
        <v>234</v>
      </c>
      <c r="G2" s="2" t="s">
        <v>235</v>
      </c>
      <c r="H2" s="2" t="s">
        <v>236</v>
      </c>
      <c r="I2" s="2" t="s">
        <v>237</v>
      </c>
    </row>
    <row r="3" spans="1:9">
      <c r="A3" s="2">
        <v>2</v>
      </c>
      <c r="B3" s="2" t="s">
        <v>37</v>
      </c>
      <c r="C3" s="2" t="s">
        <v>238</v>
      </c>
      <c r="D3" s="2" t="s">
        <v>239</v>
      </c>
      <c r="E3" s="2" t="s">
        <v>240</v>
      </c>
      <c r="F3" s="2" t="s">
        <v>241</v>
      </c>
      <c r="G3" s="2" t="s">
        <v>242</v>
      </c>
      <c r="H3" s="2" t="s">
        <v>243</v>
      </c>
      <c r="I3" s="2" t="s">
        <v>244</v>
      </c>
    </row>
    <row r="4" spans="1:9">
      <c r="A4" s="2">
        <v>3</v>
      </c>
      <c r="B4" s="2" t="s">
        <v>41</v>
      </c>
      <c r="C4" s="2" t="s">
        <v>245</v>
      </c>
      <c r="D4" s="2" t="s">
        <v>246</v>
      </c>
      <c r="E4" s="2" t="s">
        <v>247</v>
      </c>
      <c r="F4" s="2" t="s">
        <v>248</v>
      </c>
      <c r="G4" s="2" t="s">
        <v>249</v>
      </c>
      <c r="H4" s="2" t="s">
        <v>250</v>
      </c>
      <c r="I4" s="2" t="s">
        <v>251</v>
      </c>
    </row>
    <row r="5" spans="1:9">
      <c r="A5" s="2">
        <v>4</v>
      </c>
      <c r="B5" s="2" t="s">
        <v>46</v>
      </c>
      <c r="C5" s="2" t="s">
        <v>252</v>
      </c>
      <c r="D5" s="2" t="s">
        <v>253</v>
      </c>
      <c r="E5" s="2" t="s">
        <v>254</v>
      </c>
      <c r="F5" s="2" t="s">
        <v>255</v>
      </c>
      <c r="G5" s="2" t="s">
        <v>256</v>
      </c>
      <c r="H5" s="2" t="s">
        <v>257</v>
      </c>
      <c r="I5" s="2" t="s">
        <v>258</v>
      </c>
    </row>
    <row r="6" spans="1:9">
      <c r="A6" s="2">
        <v>5</v>
      </c>
      <c r="B6" s="2" t="s">
        <v>50</v>
      </c>
      <c r="C6" s="2" t="s">
        <v>259</v>
      </c>
      <c r="D6" s="2" t="s">
        <v>260</v>
      </c>
      <c r="E6" s="2" t="s">
        <v>261</v>
      </c>
      <c r="F6" s="2" t="s">
        <v>262</v>
      </c>
      <c r="G6" s="2" t="s">
        <v>263</v>
      </c>
      <c r="H6" s="2" t="s">
        <v>264</v>
      </c>
      <c r="I6" s="2" t="s">
        <v>265</v>
      </c>
    </row>
    <row r="7" spans="1:9">
      <c r="A7" s="2">
        <v>6</v>
      </c>
      <c r="B7" s="2" t="s">
        <v>54</v>
      </c>
      <c r="C7" s="2" t="s">
        <v>266</v>
      </c>
      <c r="D7" s="2" t="s">
        <v>267</v>
      </c>
      <c r="E7" s="2" t="s">
        <v>268</v>
      </c>
      <c r="F7" s="2" t="s">
        <v>269</v>
      </c>
      <c r="G7" s="2" t="s">
        <v>270</v>
      </c>
      <c r="H7" s="2" t="s">
        <v>271</v>
      </c>
      <c r="I7" s="2" t="s">
        <v>272</v>
      </c>
    </row>
    <row r="8" spans="1:9" ht="28.5">
      <c r="A8" s="2">
        <v>7</v>
      </c>
      <c r="B8" s="2" t="s">
        <v>58</v>
      </c>
      <c r="C8" s="2" t="s">
        <v>273</v>
      </c>
      <c r="D8" s="2" t="s">
        <v>274</v>
      </c>
      <c r="E8" s="2" t="s">
        <v>275</v>
      </c>
      <c r="F8" s="2" t="s">
        <v>276</v>
      </c>
      <c r="G8" s="2" t="s">
        <v>277</v>
      </c>
      <c r="H8" s="2" t="s">
        <v>278</v>
      </c>
      <c r="I8" s="2" t="s">
        <v>279</v>
      </c>
    </row>
    <row r="9" spans="1:9">
      <c r="A9" s="2">
        <v>8</v>
      </c>
      <c r="B9" s="2" t="s">
        <v>62</v>
      </c>
      <c r="C9" s="2" t="s">
        <v>280</v>
      </c>
      <c r="D9" s="2" t="s">
        <v>281</v>
      </c>
      <c r="E9" s="2" t="s">
        <v>282</v>
      </c>
      <c r="F9" s="2" t="s">
        <v>283</v>
      </c>
      <c r="G9" s="2" t="s">
        <v>263</v>
      </c>
      <c r="H9" s="2" t="s">
        <v>284</v>
      </c>
      <c r="I9" s="2" t="s">
        <v>285</v>
      </c>
    </row>
    <row r="10" spans="1:9" ht="28.5">
      <c r="A10" s="2">
        <v>9</v>
      </c>
      <c r="B10" s="2" t="s">
        <v>66</v>
      </c>
      <c r="C10" s="2" t="s">
        <v>286</v>
      </c>
      <c r="D10" s="2" t="s">
        <v>287</v>
      </c>
      <c r="E10" s="2" t="s">
        <v>288</v>
      </c>
      <c r="F10" s="2" t="s">
        <v>289</v>
      </c>
      <c r="G10" s="2" t="s">
        <v>242</v>
      </c>
      <c r="H10" s="2" t="s">
        <v>290</v>
      </c>
      <c r="I10" s="2" t="s">
        <v>291</v>
      </c>
    </row>
    <row r="11" spans="1:9">
      <c r="A11" s="2">
        <v>10</v>
      </c>
      <c r="B11" s="2" t="s">
        <v>70</v>
      </c>
      <c r="C11" s="2" t="s">
        <v>292</v>
      </c>
      <c r="D11" s="2" t="s">
        <v>293</v>
      </c>
      <c r="E11" s="2" t="s">
        <v>294</v>
      </c>
      <c r="F11" s="2" t="s">
        <v>289</v>
      </c>
      <c r="G11" s="2" t="s">
        <v>295</v>
      </c>
      <c r="H11" s="2" t="s">
        <v>296</v>
      </c>
      <c r="I11" s="2" t="s">
        <v>297</v>
      </c>
    </row>
    <row r="12" spans="1:9">
      <c r="A12" s="2">
        <v>11</v>
      </c>
      <c r="B12" s="2" t="s">
        <v>74</v>
      </c>
      <c r="C12" s="2" t="s">
        <v>298</v>
      </c>
      <c r="D12" s="2" t="s">
        <v>299</v>
      </c>
      <c r="E12" s="2" t="s">
        <v>300</v>
      </c>
      <c r="F12" s="2" t="s">
        <v>301</v>
      </c>
      <c r="G12" s="2" t="s">
        <v>302</v>
      </c>
      <c r="H12" s="2" t="s">
        <v>303</v>
      </c>
      <c r="I12" s="2" t="s">
        <v>304</v>
      </c>
    </row>
    <row r="13" spans="1:9">
      <c r="A13" s="2">
        <v>12</v>
      </c>
      <c r="B13" s="2" t="s">
        <v>78</v>
      </c>
      <c r="C13" s="2" t="s">
        <v>305</v>
      </c>
      <c r="D13" s="2" t="s">
        <v>306</v>
      </c>
      <c r="E13" s="2" t="s">
        <v>307</v>
      </c>
      <c r="F13" s="2" t="s">
        <v>308</v>
      </c>
      <c r="G13" s="2" t="s">
        <v>309</v>
      </c>
      <c r="H13" s="2" t="s">
        <v>310</v>
      </c>
      <c r="I13" s="2" t="s">
        <v>311</v>
      </c>
    </row>
    <row r="14" spans="1:9">
      <c r="A14" s="2">
        <v>13</v>
      </c>
      <c r="B14" s="2" t="s">
        <v>82</v>
      </c>
      <c r="C14" s="2" t="s">
        <v>312</v>
      </c>
      <c r="D14" s="2" t="s">
        <v>313</v>
      </c>
      <c r="E14" s="2" t="s">
        <v>314</v>
      </c>
      <c r="F14" s="2" t="s">
        <v>315</v>
      </c>
      <c r="G14" s="2" t="s">
        <v>256</v>
      </c>
      <c r="H14" s="2" t="s">
        <v>316</v>
      </c>
      <c r="I14" s="2" t="s">
        <v>317</v>
      </c>
    </row>
    <row r="15" spans="1:9">
      <c r="A15" s="2">
        <v>14</v>
      </c>
      <c r="B15" s="2" t="s">
        <v>87</v>
      </c>
      <c r="C15" s="2" t="s">
        <v>318</v>
      </c>
      <c r="D15" s="2" t="s">
        <v>319</v>
      </c>
      <c r="E15" s="2" t="s">
        <v>320</v>
      </c>
      <c r="F15" s="2" t="s">
        <v>262</v>
      </c>
      <c r="G15" s="2" t="s">
        <v>263</v>
      </c>
      <c r="H15" s="2" t="s">
        <v>321</v>
      </c>
      <c r="I15" s="2" t="s">
        <v>322</v>
      </c>
    </row>
    <row r="16" spans="1:9" ht="28.5">
      <c r="A16" s="2">
        <v>15</v>
      </c>
      <c r="B16" s="2" t="s">
        <v>91</v>
      </c>
      <c r="C16" s="2" t="s">
        <v>323</v>
      </c>
      <c r="D16" s="2" t="s">
        <v>324</v>
      </c>
      <c r="E16" s="2" t="s">
        <v>307</v>
      </c>
      <c r="F16" s="2" t="s">
        <v>325</v>
      </c>
      <c r="G16" s="2" t="s">
        <v>326</v>
      </c>
      <c r="H16" s="2" t="s">
        <v>327</v>
      </c>
      <c r="I16" s="2" t="s">
        <v>328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baseColWidth="10" defaultColWidth="9" defaultRowHeight="14.25"/>
  <cols>
    <col min="1" max="1" width="23" customWidth="1"/>
    <col min="2" max="2" width="28" customWidth="1"/>
    <col min="3" max="3" width="75" customWidth="1"/>
    <col min="4" max="4" width="20" customWidth="1"/>
    <col min="5" max="5" width="16" customWidth="1"/>
    <col min="6" max="6" width="45" customWidth="1"/>
  </cols>
  <sheetData>
    <row r="1" spans="1:6" ht="15">
      <c r="A1" s="3" t="s">
        <v>329</v>
      </c>
      <c r="B1" s="3" t="s">
        <v>330</v>
      </c>
      <c r="C1" s="3" t="s">
        <v>331</v>
      </c>
      <c r="D1" s="3" t="s">
        <v>332</v>
      </c>
      <c r="E1" s="3" t="s">
        <v>333</v>
      </c>
      <c r="F1" s="3" t="s">
        <v>334</v>
      </c>
    </row>
    <row r="2" spans="1:6">
      <c r="A2" s="2" t="s">
        <v>335</v>
      </c>
      <c r="B2" s="2" t="s">
        <v>336</v>
      </c>
      <c r="C2" s="2" t="s">
        <v>337</v>
      </c>
      <c r="D2" s="5">
        <v>0.1</v>
      </c>
      <c r="E2" s="2" t="s">
        <v>338</v>
      </c>
      <c r="F2" s="2"/>
    </row>
    <row r="3" spans="1:6">
      <c r="A3" s="2" t="s">
        <v>339</v>
      </c>
      <c r="B3" s="2" t="s">
        <v>340</v>
      </c>
      <c r="C3" s="2" t="s">
        <v>341</v>
      </c>
      <c r="D3" s="5">
        <v>0.1</v>
      </c>
      <c r="E3" s="2" t="s">
        <v>338</v>
      </c>
      <c r="F3" s="2"/>
    </row>
    <row r="4" spans="1:6">
      <c r="A4" s="2" t="s">
        <v>342</v>
      </c>
      <c r="B4" s="2" t="s">
        <v>343</v>
      </c>
      <c r="C4" s="2" t="s">
        <v>344</v>
      </c>
      <c r="D4" s="5">
        <v>0.15</v>
      </c>
      <c r="E4" s="2" t="s">
        <v>338</v>
      </c>
      <c r="F4" s="2"/>
    </row>
    <row r="5" spans="1:6">
      <c r="A5" s="2" t="s">
        <v>345</v>
      </c>
      <c r="B5" s="2" t="s">
        <v>346</v>
      </c>
      <c r="C5" s="2" t="s">
        <v>347</v>
      </c>
      <c r="D5" s="5">
        <v>0.15</v>
      </c>
      <c r="E5" s="2" t="s">
        <v>338</v>
      </c>
      <c r="F5" s="2"/>
    </row>
    <row r="6" spans="1:6">
      <c r="A6" s="2" t="s">
        <v>348</v>
      </c>
      <c r="B6" s="2" t="s">
        <v>349</v>
      </c>
      <c r="C6" s="2" t="s">
        <v>350</v>
      </c>
      <c r="D6" s="5">
        <v>0.15</v>
      </c>
      <c r="E6" s="2" t="s">
        <v>338</v>
      </c>
      <c r="F6" s="2"/>
    </row>
    <row r="7" spans="1:6">
      <c r="A7" s="2" t="s">
        <v>351</v>
      </c>
      <c r="B7" s="2" t="s">
        <v>352</v>
      </c>
      <c r="C7" s="2" t="s">
        <v>353</v>
      </c>
      <c r="D7" s="5">
        <v>0.15</v>
      </c>
      <c r="E7" s="2" t="s">
        <v>338</v>
      </c>
      <c r="F7" s="2"/>
    </row>
    <row r="8" spans="1:6">
      <c r="A8" s="2" t="s">
        <v>354</v>
      </c>
      <c r="B8" s="2" t="s">
        <v>355</v>
      </c>
      <c r="C8" s="2" t="s">
        <v>356</v>
      </c>
      <c r="D8" s="5">
        <v>0.1</v>
      </c>
      <c r="E8" s="2" t="s">
        <v>338</v>
      </c>
      <c r="F8" s="2"/>
    </row>
    <row r="9" spans="1:6">
      <c r="A9" s="2" t="s">
        <v>357</v>
      </c>
      <c r="B9" s="2" t="s">
        <v>358</v>
      </c>
      <c r="C9" s="2" t="s">
        <v>359</v>
      </c>
      <c r="D9" s="5">
        <v>0.1</v>
      </c>
      <c r="E9" s="2" t="s">
        <v>338</v>
      </c>
      <c r="F9" s="2"/>
    </row>
  </sheetData>
  <dataValidations count="1">
    <dataValidation type="list" sqref="E2:E9" xr:uid="{00000000-0002-0000-0400-000000000000}">
      <formula1>"Pendiente,En progreso,Entregado,Corregir,Aprobado"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"/>
  <sheetViews>
    <sheetView workbookViewId="0"/>
  </sheetViews>
  <sheetFormatPr baseColWidth="10" defaultColWidth="9" defaultRowHeight="14.25"/>
  <cols>
    <col min="1" max="1" width="8" customWidth="1"/>
    <col min="2" max="2" width="20" customWidth="1"/>
    <col min="3" max="3" width="40" customWidth="1"/>
    <col min="4" max="4" width="12" customWidth="1"/>
    <col min="5" max="6" width="20" customWidth="1"/>
    <col min="7" max="7" width="14" customWidth="1"/>
    <col min="8" max="8" width="55" customWidth="1"/>
    <col min="9" max="9" width="15" customWidth="1"/>
  </cols>
  <sheetData>
    <row r="1" spans="1:9" ht="15">
      <c r="A1" s="3" t="s">
        <v>360</v>
      </c>
      <c r="B1" s="3" t="s">
        <v>361</v>
      </c>
      <c r="C1" s="3" t="s">
        <v>362</v>
      </c>
      <c r="D1" s="3" t="s">
        <v>363</v>
      </c>
      <c r="E1" s="3" t="s">
        <v>364</v>
      </c>
      <c r="F1" s="3" t="s">
        <v>365</v>
      </c>
      <c r="G1" s="3" t="s">
        <v>366</v>
      </c>
      <c r="H1" s="3" t="s">
        <v>367</v>
      </c>
      <c r="I1" s="3" t="s">
        <v>368</v>
      </c>
    </row>
    <row r="2" spans="1:9">
      <c r="A2" s="2">
        <v>1</v>
      </c>
      <c r="B2" s="2"/>
      <c r="C2" s="2"/>
      <c r="D2" s="2"/>
      <c r="E2" s="4">
        <v>0</v>
      </c>
      <c r="F2" s="4">
        <f t="shared" ref="F2:F31" si="0">D2*E2</f>
        <v>0</v>
      </c>
      <c r="G2" s="2" t="s">
        <v>369</v>
      </c>
      <c r="H2" s="2"/>
      <c r="I2" s="2" t="s">
        <v>370</v>
      </c>
    </row>
    <row r="3" spans="1:9">
      <c r="A3" s="2">
        <v>2</v>
      </c>
      <c r="B3" s="2"/>
      <c r="C3" s="2"/>
      <c r="D3" s="2"/>
      <c r="E3" s="4">
        <v>0</v>
      </c>
      <c r="F3" s="4">
        <f t="shared" si="0"/>
        <v>0</v>
      </c>
      <c r="G3" s="2" t="s">
        <v>369</v>
      </c>
      <c r="H3" s="2"/>
      <c r="I3" s="2" t="s">
        <v>370</v>
      </c>
    </row>
    <row r="4" spans="1:9">
      <c r="A4" s="2">
        <v>3</v>
      </c>
      <c r="B4" s="2"/>
      <c r="C4" s="2"/>
      <c r="D4" s="2"/>
      <c r="E4" s="4">
        <v>0</v>
      </c>
      <c r="F4" s="4">
        <f t="shared" si="0"/>
        <v>0</v>
      </c>
      <c r="G4" s="2" t="s">
        <v>369</v>
      </c>
      <c r="H4" s="2"/>
      <c r="I4" s="2" t="s">
        <v>370</v>
      </c>
    </row>
    <row r="5" spans="1:9">
      <c r="A5" s="2">
        <v>4</v>
      </c>
      <c r="B5" s="2"/>
      <c r="C5" s="2"/>
      <c r="D5" s="2"/>
      <c r="E5" s="4">
        <v>0</v>
      </c>
      <c r="F5" s="4">
        <f t="shared" si="0"/>
        <v>0</v>
      </c>
      <c r="G5" s="2" t="s">
        <v>369</v>
      </c>
      <c r="H5" s="2"/>
      <c r="I5" s="2" t="s">
        <v>370</v>
      </c>
    </row>
    <row r="6" spans="1:9">
      <c r="A6" s="2">
        <v>5</v>
      </c>
      <c r="B6" s="2"/>
      <c r="C6" s="2"/>
      <c r="D6" s="2"/>
      <c r="E6" s="4">
        <v>0</v>
      </c>
      <c r="F6" s="4">
        <f t="shared" si="0"/>
        <v>0</v>
      </c>
      <c r="G6" s="2" t="s">
        <v>369</v>
      </c>
      <c r="H6" s="2"/>
      <c r="I6" s="2" t="s">
        <v>370</v>
      </c>
    </row>
    <row r="7" spans="1:9">
      <c r="A7" s="2">
        <v>6</v>
      </c>
      <c r="B7" s="2"/>
      <c r="C7" s="2"/>
      <c r="D7" s="2"/>
      <c r="E7" s="4">
        <v>0</v>
      </c>
      <c r="F7" s="4">
        <f t="shared" si="0"/>
        <v>0</v>
      </c>
      <c r="G7" s="2" t="s">
        <v>369</v>
      </c>
      <c r="H7" s="2"/>
      <c r="I7" s="2" t="s">
        <v>370</v>
      </c>
    </row>
    <row r="8" spans="1:9">
      <c r="A8" s="2">
        <v>7</v>
      </c>
      <c r="B8" s="2"/>
      <c r="C8" s="2"/>
      <c r="D8" s="2"/>
      <c r="E8" s="4">
        <v>0</v>
      </c>
      <c r="F8" s="4">
        <f t="shared" si="0"/>
        <v>0</v>
      </c>
      <c r="G8" s="2" t="s">
        <v>369</v>
      </c>
      <c r="H8" s="2"/>
      <c r="I8" s="2" t="s">
        <v>370</v>
      </c>
    </row>
    <row r="9" spans="1:9">
      <c r="A9" s="2">
        <v>8</v>
      </c>
      <c r="B9" s="2"/>
      <c r="C9" s="2"/>
      <c r="D9" s="2"/>
      <c r="E9" s="4">
        <v>0</v>
      </c>
      <c r="F9" s="4">
        <f t="shared" si="0"/>
        <v>0</v>
      </c>
      <c r="G9" s="2" t="s">
        <v>369</v>
      </c>
      <c r="H9" s="2"/>
      <c r="I9" s="2" t="s">
        <v>370</v>
      </c>
    </row>
    <row r="10" spans="1:9">
      <c r="A10" s="2">
        <v>9</v>
      </c>
      <c r="B10" s="2"/>
      <c r="C10" s="2"/>
      <c r="D10" s="2"/>
      <c r="E10" s="4">
        <v>0</v>
      </c>
      <c r="F10" s="4">
        <f t="shared" si="0"/>
        <v>0</v>
      </c>
      <c r="G10" s="2" t="s">
        <v>369</v>
      </c>
      <c r="H10" s="2"/>
      <c r="I10" s="2" t="s">
        <v>370</v>
      </c>
    </row>
    <row r="11" spans="1:9">
      <c r="A11" s="2">
        <v>10</v>
      </c>
      <c r="B11" s="2"/>
      <c r="C11" s="2"/>
      <c r="D11" s="2"/>
      <c r="E11" s="4">
        <v>0</v>
      </c>
      <c r="F11" s="4">
        <f t="shared" si="0"/>
        <v>0</v>
      </c>
      <c r="G11" s="2" t="s">
        <v>369</v>
      </c>
      <c r="H11" s="2"/>
      <c r="I11" s="2" t="s">
        <v>370</v>
      </c>
    </row>
    <row r="12" spans="1:9">
      <c r="A12" s="2">
        <v>11</v>
      </c>
      <c r="B12" s="2"/>
      <c r="C12" s="2"/>
      <c r="D12" s="2"/>
      <c r="E12" s="4">
        <v>0</v>
      </c>
      <c r="F12" s="4">
        <f t="shared" si="0"/>
        <v>0</v>
      </c>
      <c r="G12" s="2" t="s">
        <v>369</v>
      </c>
      <c r="H12" s="2"/>
      <c r="I12" s="2" t="s">
        <v>370</v>
      </c>
    </row>
    <row r="13" spans="1:9">
      <c r="A13" s="2">
        <v>12</v>
      </c>
      <c r="B13" s="2"/>
      <c r="C13" s="2"/>
      <c r="D13" s="2"/>
      <c r="E13" s="4">
        <v>0</v>
      </c>
      <c r="F13" s="4">
        <f t="shared" si="0"/>
        <v>0</v>
      </c>
      <c r="G13" s="2" t="s">
        <v>369</v>
      </c>
      <c r="H13" s="2"/>
      <c r="I13" s="2" t="s">
        <v>370</v>
      </c>
    </row>
    <row r="14" spans="1:9">
      <c r="A14" s="2">
        <v>13</v>
      </c>
      <c r="B14" s="2"/>
      <c r="C14" s="2"/>
      <c r="D14" s="2"/>
      <c r="E14" s="4">
        <v>0</v>
      </c>
      <c r="F14" s="4">
        <f t="shared" si="0"/>
        <v>0</v>
      </c>
      <c r="G14" s="2" t="s">
        <v>369</v>
      </c>
      <c r="H14" s="2"/>
      <c r="I14" s="2" t="s">
        <v>370</v>
      </c>
    </row>
    <row r="15" spans="1:9">
      <c r="A15" s="2">
        <v>14</v>
      </c>
      <c r="B15" s="2"/>
      <c r="C15" s="2"/>
      <c r="D15" s="2"/>
      <c r="E15" s="4">
        <v>0</v>
      </c>
      <c r="F15" s="4">
        <f t="shared" si="0"/>
        <v>0</v>
      </c>
      <c r="G15" s="2" t="s">
        <v>369</v>
      </c>
      <c r="H15" s="2"/>
      <c r="I15" s="2" t="s">
        <v>370</v>
      </c>
    </row>
    <row r="16" spans="1:9">
      <c r="A16" s="2">
        <v>15</v>
      </c>
      <c r="B16" s="2"/>
      <c r="C16" s="2"/>
      <c r="D16" s="2"/>
      <c r="E16" s="4">
        <v>0</v>
      </c>
      <c r="F16" s="4">
        <f t="shared" si="0"/>
        <v>0</v>
      </c>
      <c r="G16" s="2" t="s">
        <v>369</v>
      </c>
      <c r="H16" s="2"/>
      <c r="I16" s="2" t="s">
        <v>370</v>
      </c>
    </row>
    <row r="17" spans="1:9">
      <c r="A17" s="2">
        <v>16</v>
      </c>
      <c r="B17" s="2"/>
      <c r="C17" s="2"/>
      <c r="D17" s="2"/>
      <c r="E17" s="4">
        <v>0</v>
      </c>
      <c r="F17" s="4">
        <f t="shared" si="0"/>
        <v>0</v>
      </c>
      <c r="G17" s="2" t="s">
        <v>369</v>
      </c>
      <c r="H17" s="2"/>
      <c r="I17" s="2" t="s">
        <v>370</v>
      </c>
    </row>
    <row r="18" spans="1:9">
      <c r="A18" s="2">
        <v>17</v>
      </c>
      <c r="B18" s="2"/>
      <c r="C18" s="2"/>
      <c r="D18" s="2"/>
      <c r="E18" s="4">
        <v>0</v>
      </c>
      <c r="F18" s="4">
        <f t="shared" si="0"/>
        <v>0</v>
      </c>
      <c r="G18" s="2" t="s">
        <v>369</v>
      </c>
      <c r="H18" s="2"/>
      <c r="I18" s="2" t="s">
        <v>370</v>
      </c>
    </row>
    <row r="19" spans="1:9">
      <c r="A19" s="2">
        <v>18</v>
      </c>
      <c r="B19" s="2"/>
      <c r="C19" s="2"/>
      <c r="D19" s="2"/>
      <c r="E19" s="4">
        <v>0</v>
      </c>
      <c r="F19" s="4">
        <f t="shared" si="0"/>
        <v>0</v>
      </c>
      <c r="G19" s="2" t="s">
        <v>369</v>
      </c>
      <c r="H19" s="2"/>
      <c r="I19" s="2" t="s">
        <v>370</v>
      </c>
    </row>
    <row r="20" spans="1:9">
      <c r="A20" s="2">
        <v>19</v>
      </c>
      <c r="B20" s="2"/>
      <c r="C20" s="2"/>
      <c r="D20" s="2"/>
      <c r="E20" s="4">
        <v>0</v>
      </c>
      <c r="F20" s="4">
        <f t="shared" si="0"/>
        <v>0</v>
      </c>
      <c r="G20" s="2" t="s">
        <v>369</v>
      </c>
      <c r="H20" s="2"/>
      <c r="I20" s="2" t="s">
        <v>370</v>
      </c>
    </row>
    <row r="21" spans="1:9">
      <c r="A21" s="2">
        <v>20</v>
      </c>
      <c r="B21" s="2"/>
      <c r="C21" s="2"/>
      <c r="D21" s="2"/>
      <c r="E21" s="4">
        <v>0</v>
      </c>
      <c r="F21" s="4">
        <f t="shared" si="0"/>
        <v>0</v>
      </c>
      <c r="G21" s="2" t="s">
        <v>369</v>
      </c>
      <c r="H21" s="2"/>
      <c r="I21" s="2" t="s">
        <v>370</v>
      </c>
    </row>
    <row r="22" spans="1:9">
      <c r="A22" s="2">
        <v>21</v>
      </c>
      <c r="B22" s="2"/>
      <c r="C22" s="2"/>
      <c r="D22" s="2"/>
      <c r="E22" s="4">
        <v>0</v>
      </c>
      <c r="F22" s="4">
        <f t="shared" si="0"/>
        <v>0</v>
      </c>
      <c r="G22" s="2" t="s">
        <v>369</v>
      </c>
      <c r="H22" s="2"/>
      <c r="I22" s="2" t="s">
        <v>370</v>
      </c>
    </row>
    <row r="23" spans="1:9">
      <c r="A23" s="2">
        <v>22</v>
      </c>
      <c r="B23" s="2"/>
      <c r="C23" s="2"/>
      <c r="D23" s="2"/>
      <c r="E23" s="4">
        <v>0</v>
      </c>
      <c r="F23" s="4">
        <f t="shared" si="0"/>
        <v>0</v>
      </c>
      <c r="G23" s="2" t="s">
        <v>369</v>
      </c>
      <c r="H23" s="2"/>
      <c r="I23" s="2" t="s">
        <v>370</v>
      </c>
    </row>
    <row r="24" spans="1:9">
      <c r="A24" s="2">
        <v>23</v>
      </c>
      <c r="B24" s="2"/>
      <c r="C24" s="2"/>
      <c r="D24" s="2"/>
      <c r="E24" s="4">
        <v>0</v>
      </c>
      <c r="F24" s="4">
        <f t="shared" si="0"/>
        <v>0</v>
      </c>
      <c r="G24" s="2" t="s">
        <v>369</v>
      </c>
      <c r="H24" s="2"/>
      <c r="I24" s="2" t="s">
        <v>370</v>
      </c>
    </row>
    <row r="25" spans="1:9">
      <c r="A25" s="2">
        <v>24</v>
      </c>
      <c r="B25" s="2"/>
      <c r="C25" s="2"/>
      <c r="D25" s="2"/>
      <c r="E25" s="4">
        <v>0</v>
      </c>
      <c r="F25" s="4">
        <f t="shared" si="0"/>
        <v>0</v>
      </c>
      <c r="G25" s="2" t="s">
        <v>369</v>
      </c>
      <c r="H25" s="2"/>
      <c r="I25" s="2" t="s">
        <v>370</v>
      </c>
    </row>
    <row r="26" spans="1:9">
      <c r="A26" s="2">
        <v>25</v>
      </c>
      <c r="B26" s="2"/>
      <c r="C26" s="2"/>
      <c r="D26" s="2"/>
      <c r="E26" s="4">
        <v>0</v>
      </c>
      <c r="F26" s="4">
        <f t="shared" si="0"/>
        <v>0</v>
      </c>
      <c r="G26" s="2" t="s">
        <v>369</v>
      </c>
      <c r="H26" s="2"/>
      <c r="I26" s="2" t="s">
        <v>370</v>
      </c>
    </row>
    <row r="27" spans="1:9">
      <c r="A27" s="2">
        <v>26</v>
      </c>
      <c r="B27" s="2"/>
      <c r="C27" s="2"/>
      <c r="D27" s="2"/>
      <c r="E27" s="4">
        <v>0</v>
      </c>
      <c r="F27" s="4">
        <f t="shared" si="0"/>
        <v>0</v>
      </c>
      <c r="G27" s="2" t="s">
        <v>369</v>
      </c>
      <c r="H27" s="2"/>
      <c r="I27" s="2" t="s">
        <v>370</v>
      </c>
    </row>
    <row r="28" spans="1:9">
      <c r="A28" s="2">
        <v>27</v>
      </c>
      <c r="B28" s="2"/>
      <c r="C28" s="2"/>
      <c r="D28" s="2"/>
      <c r="E28" s="4">
        <v>0</v>
      </c>
      <c r="F28" s="4">
        <f t="shared" si="0"/>
        <v>0</v>
      </c>
      <c r="G28" s="2" t="s">
        <v>369</v>
      </c>
      <c r="H28" s="2"/>
      <c r="I28" s="2" t="s">
        <v>370</v>
      </c>
    </row>
    <row r="29" spans="1:9">
      <c r="A29" s="2">
        <v>28</v>
      </c>
      <c r="B29" s="2"/>
      <c r="C29" s="2"/>
      <c r="D29" s="2"/>
      <c r="E29" s="4">
        <v>0</v>
      </c>
      <c r="F29" s="4">
        <f t="shared" si="0"/>
        <v>0</v>
      </c>
      <c r="G29" s="2" t="s">
        <v>369</v>
      </c>
      <c r="H29" s="2"/>
      <c r="I29" s="2" t="s">
        <v>370</v>
      </c>
    </row>
    <row r="30" spans="1:9">
      <c r="A30" s="2">
        <v>29</v>
      </c>
      <c r="B30" s="2"/>
      <c r="C30" s="2"/>
      <c r="D30" s="2"/>
      <c r="E30" s="4">
        <v>0</v>
      </c>
      <c r="F30" s="4">
        <f t="shared" si="0"/>
        <v>0</v>
      </c>
      <c r="G30" s="2" t="s">
        <v>369</v>
      </c>
      <c r="H30" s="2"/>
      <c r="I30" s="2" t="s">
        <v>370</v>
      </c>
    </row>
    <row r="31" spans="1:9">
      <c r="A31" s="2">
        <v>30</v>
      </c>
      <c r="B31" s="2"/>
      <c r="C31" s="2"/>
      <c r="D31" s="2"/>
      <c r="E31" s="4">
        <v>0</v>
      </c>
      <c r="F31" s="4">
        <f t="shared" si="0"/>
        <v>0</v>
      </c>
      <c r="G31" s="2" t="s">
        <v>369</v>
      </c>
      <c r="H31" s="2"/>
      <c r="I31" s="2" t="s">
        <v>370</v>
      </c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 ht="15">
      <c r="A33" s="9" t="s">
        <v>371</v>
      </c>
      <c r="B33" s="9"/>
      <c r="C33" s="9"/>
      <c r="D33" s="9"/>
      <c r="E33" s="9"/>
      <c r="F33" s="4">
        <f>SUM(F2:F31)</f>
        <v>0</v>
      </c>
      <c r="G33" s="2"/>
      <c r="H33" s="2"/>
      <c r="I33" s="2"/>
    </row>
  </sheetData>
  <mergeCells count="1">
    <mergeCell ref="A33:E33"/>
  </mergeCells>
  <dataValidations count="2">
    <dataValidation type="list" sqref="G2:G31" xr:uid="{00000000-0002-0000-0500-000000000000}">
      <formula1>"CAPEX,OPEX"</formula1>
    </dataValidation>
    <dataValidation type="list" sqref="I2:I31" xr:uid="{00000000-0002-0000-0500-000001000000}">
      <formula1>"Crítica,Alta,Media,Baja"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/>
  </sheetViews>
  <sheetFormatPr baseColWidth="10" defaultColWidth="9" defaultRowHeight="14.25"/>
  <cols>
    <col min="1" max="1" width="6" customWidth="1"/>
    <col min="2" max="2" width="26" customWidth="1"/>
    <col min="3" max="4" width="35" customWidth="1"/>
    <col min="5" max="5" width="48" customWidth="1"/>
    <col min="6" max="6" width="26" customWidth="1"/>
    <col min="7" max="7" width="25" customWidth="1"/>
    <col min="8" max="8" width="28" customWidth="1"/>
    <col min="9" max="9" width="14" customWidth="1"/>
    <col min="10" max="10" width="35" customWidth="1"/>
  </cols>
  <sheetData>
    <row r="1" spans="1:10" ht="15">
      <c r="A1" s="3" t="s">
        <v>22</v>
      </c>
      <c r="B1" s="3" t="s">
        <v>372</v>
      </c>
      <c r="C1" s="3" t="s">
        <v>373</v>
      </c>
      <c r="D1" s="3" t="s">
        <v>374</v>
      </c>
      <c r="E1" s="3" t="s">
        <v>375</v>
      </c>
      <c r="F1" s="3" t="s">
        <v>376</v>
      </c>
      <c r="G1" s="3" t="s">
        <v>377</v>
      </c>
      <c r="H1" s="3" t="s">
        <v>378</v>
      </c>
      <c r="I1" s="3" t="s">
        <v>379</v>
      </c>
      <c r="J1" s="3" t="s">
        <v>380</v>
      </c>
    </row>
    <row r="2" spans="1:10">
      <c r="A2" s="2">
        <v>1</v>
      </c>
      <c r="B2" s="2" t="s">
        <v>381</v>
      </c>
      <c r="C2" s="2" t="s">
        <v>382</v>
      </c>
      <c r="D2" s="2"/>
      <c r="E2" s="2"/>
      <c r="F2" s="2" t="s">
        <v>383</v>
      </c>
      <c r="G2" s="2"/>
      <c r="H2" s="2"/>
      <c r="I2" s="2" t="s">
        <v>338</v>
      </c>
      <c r="J2" s="2"/>
    </row>
    <row r="3" spans="1:10">
      <c r="A3" s="2">
        <v>2</v>
      </c>
      <c r="B3" s="2" t="s">
        <v>384</v>
      </c>
      <c r="C3" s="2" t="s">
        <v>385</v>
      </c>
      <c r="D3" s="2"/>
      <c r="E3" s="2" t="s">
        <v>386</v>
      </c>
      <c r="F3" s="2" t="s">
        <v>387</v>
      </c>
      <c r="G3" s="2"/>
      <c r="H3" s="2"/>
      <c r="I3" s="2" t="s">
        <v>338</v>
      </c>
      <c r="J3" s="2"/>
    </row>
    <row r="4" spans="1:10">
      <c r="A4" s="2">
        <v>3</v>
      </c>
      <c r="B4" s="2" t="s">
        <v>388</v>
      </c>
      <c r="C4" s="2" t="s">
        <v>389</v>
      </c>
      <c r="D4" s="2"/>
      <c r="E4" s="2" t="s">
        <v>390</v>
      </c>
      <c r="F4" s="2" t="s">
        <v>391</v>
      </c>
      <c r="G4" s="2"/>
      <c r="H4" s="2"/>
      <c r="I4" s="2" t="s">
        <v>338</v>
      </c>
      <c r="J4" s="2"/>
    </row>
    <row r="5" spans="1:10">
      <c r="A5" s="2">
        <v>4</v>
      </c>
      <c r="B5" s="2" t="s">
        <v>392</v>
      </c>
      <c r="C5" s="2" t="s">
        <v>393</v>
      </c>
      <c r="D5" s="2"/>
      <c r="E5" s="2" t="s">
        <v>394</v>
      </c>
      <c r="F5" s="2" t="s">
        <v>395</v>
      </c>
      <c r="G5" s="2"/>
      <c r="H5" s="2"/>
      <c r="I5" s="2" t="s">
        <v>338</v>
      </c>
      <c r="J5" s="2"/>
    </row>
    <row r="6" spans="1:10">
      <c r="A6" s="2">
        <v>5</v>
      </c>
      <c r="B6" s="2" t="s">
        <v>396</v>
      </c>
      <c r="C6" s="2" t="s">
        <v>397</v>
      </c>
      <c r="D6" s="2"/>
      <c r="E6" s="2" t="s">
        <v>398</v>
      </c>
      <c r="F6" s="2" t="s">
        <v>399</v>
      </c>
      <c r="G6" s="2"/>
      <c r="H6" s="2"/>
      <c r="I6" s="2" t="s">
        <v>338</v>
      </c>
      <c r="J6" s="2"/>
    </row>
    <row r="7" spans="1:10">
      <c r="A7" s="2">
        <v>6</v>
      </c>
      <c r="B7" s="2" t="s">
        <v>400</v>
      </c>
      <c r="C7" s="2" t="s">
        <v>401</v>
      </c>
      <c r="D7" s="2"/>
      <c r="E7" s="2" t="s">
        <v>402</v>
      </c>
      <c r="F7" s="2" t="s">
        <v>403</v>
      </c>
      <c r="G7" s="2"/>
      <c r="H7" s="2"/>
      <c r="I7" s="2" t="s">
        <v>338</v>
      </c>
      <c r="J7" s="2"/>
    </row>
    <row r="8" spans="1:10">
      <c r="A8" s="2">
        <v>7</v>
      </c>
      <c r="B8" s="2" t="s">
        <v>228</v>
      </c>
      <c r="C8" s="2" t="s">
        <v>404</v>
      </c>
      <c r="D8" s="2"/>
      <c r="E8" s="2" t="s">
        <v>405</v>
      </c>
      <c r="F8" s="2" t="s">
        <v>406</v>
      </c>
      <c r="G8" s="2"/>
      <c r="H8" s="2"/>
      <c r="I8" s="2" t="s">
        <v>338</v>
      </c>
      <c r="J8" s="2"/>
    </row>
    <row r="9" spans="1:10">
      <c r="A9" s="2">
        <v>8</v>
      </c>
      <c r="B9" s="2" t="s">
        <v>407</v>
      </c>
      <c r="C9" s="2" t="s">
        <v>408</v>
      </c>
      <c r="D9" s="2"/>
      <c r="E9" s="2" t="s">
        <v>409</v>
      </c>
      <c r="F9" s="2" t="s">
        <v>410</v>
      </c>
      <c r="G9" s="2"/>
      <c r="H9" s="2"/>
      <c r="I9" s="2" t="s">
        <v>338</v>
      </c>
      <c r="J9" s="2"/>
    </row>
  </sheetData>
  <dataValidations count="1">
    <dataValidation type="list" sqref="I2:I9" xr:uid="{00000000-0002-0000-0600-000000000000}">
      <formula1>"Pendiente,Sí,No,Parcial"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workbookViewId="0"/>
  </sheetViews>
  <sheetFormatPr baseColWidth="10" defaultColWidth="9" defaultRowHeight="14.25"/>
  <cols>
    <col min="1" max="1" width="35" customWidth="1"/>
    <col min="2" max="2" width="10" customWidth="1"/>
    <col min="3" max="3" width="48" customWidth="1"/>
    <col min="4" max="4" width="45" customWidth="1"/>
    <col min="5" max="6" width="42" customWidth="1"/>
    <col min="7" max="7" width="16" customWidth="1"/>
    <col min="8" max="8" width="20" customWidth="1"/>
  </cols>
  <sheetData>
    <row r="1" spans="1:8" ht="15">
      <c r="A1" s="3" t="s">
        <v>411</v>
      </c>
      <c r="B1" s="3" t="s">
        <v>412</v>
      </c>
      <c r="C1" s="3" t="s">
        <v>413</v>
      </c>
      <c r="D1" s="3" t="s">
        <v>414</v>
      </c>
      <c r="E1" s="3" t="s">
        <v>415</v>
      </c>
      <c r="F1" s="3" t="s">
        <v>416</v>
      </c>
      <c r="G1" s="3" t="s">
        <v>417</v>
      </c>
      <c r="H1" s="3" t="s">
        <v>418</v>
      </c>
    </row>
    <row r="2" spans="1:8" ht="28.5">
      <c r="A2" s="2" t="s">
        <v>419</v>
      </c>
      <c r="B2" s="5">
        <v>0.1</v>
      </c>
      <c r="C2" s="2" t="s">
        <v>420</v>
      </c>
      <c r="D2" s="2" t="s">
        <v>421</v>
      </c>
      <c r="E2" s="2" t="s">
        <v>422</v>
      </c>
      <c r="F2" s="2" t="s">
        <v>423</v>
      </c>
      <c r="G2" s="2"/>
      <c r="H2" s="2">
        <f t="shared" ref="H2:H11" si="0">B2*G2</f>
        <v>0</v>
      </c>
    </row>
    <row r="3" spans="1:8">
      <c r="A3" s="2" t="s">
        <v>424</v>
      </c>
      <c r="B3" s="5">
        <v>0.2</v>
      </c>
      <c r="C3" s="2" t="s">
        <v>425</v>
      </c>
      <c r="D3" s="2" t="s">
        <v>426</v>
      </c>
      <c r="E3" s="2" t="s">
        <v>427</v>
      </c>
      <c r="F3" s="2" t="s">
        <v>428</v>
      </c>
      <c r="G3" s="2"/>
      <c r="H3" s="2">
        <f t="shared" si="0"/>
        <v>0</v>
      </c>
    </row>
    <row r="4" spans="1:8">
      <c r="A4" s="2" t="s">
        <v>429</v>
      </c>
      <c r="B4" s="5">
        <v>0.15</v>
      </c>
      <c r="C4" s="2" t="s">
        <v>430</v>
      </c>
      <c r="D4" s="2" t="s">
        <v>431</v>
      </c>
      <c r="E4" s="2" t="s">
        <v>432</v>
      </c>
      <c r="F4" s="2" t="s">
        <v>433</v>
      </c>
      <c r="G4" s="2"/>
      <c r="H4" s="2">
        <f t="shared" si="0"/>
        <v>0</v>
      </c>
    </row>
    <row r="5" spans="1:8">
      <c r="A5" s="2" t="s">
        <v>434</v>
      </c>
      <c r="B5" s="5">
        <v>0.1</v>
      </c>
      <c r="C5" s="2" t="s">
        <v>435</v>
      </c>
      <c r="D5" s="2" t="s">
        <v>436</v>
      </c>
      <c r="E5" s="2" t="s">
        <v>263</v>
      </c>
      <c r="F5" s="2" t="s">
        <v>437</v>
      </c>
      <c r="G5" s="2"/>
      <c r="H5" s="2">
        <f t="shared" si="0"/>
        <v>0</v>
      </c>
    </row>
    <row r="6" spans="1:8">
      <c r="A6" s="2" t="s">
        <v>438</v>
      </c>
      <c r="B6" s="5">
        <v>0.1</v>
      </c>
      <c r="C6" s="2" t="s">
        <v>439</v>
      </c>
      <c r="D6" s="2" t="s">
        <v>440</v>
      </c>
      <c r="E6" s="2" t="s">
        <v>263</v>
      </c>
      <c r="F6" s="2" t="s">
        <v>441</v>
      </c>
      <c r="G6" s="2"/>
      <c r="H6" s="2">
        <f t="shared" si="0"/>
        <v>0</v>
      </c>
    </row>
    <row r="7" spans="1:8">
      <c r="A7" s="2" t="s">
        <v>442</v>
      </c>
      <c r="B7" s="5">
        <v>0.1</v>
      </c>
      <c r="C7" s="2" t="s">
        <v>443</v>
      </c>
      <c r="D7" s="2" t="s">
        <v>444</v>
      </c>
      <c r="E7" s="2" t="s">
        <v>445</v>
      </c>
      <c r="F7" s="2" t="s">
        <v>446</v>
      </c>
      <c r="G7" s="2"/>
      <c r="H7" s="2">
        <f t="shared" si="0"/>
        <v>0</v>
      </c>
    </row>
    <row r="8" spans="1:8">
      <c r="A8" s="2" t="s">
        <v>447</v>
      </c>
      <c r="B8" s="5">
        <v>0.1</v>
      </c>
      <c r="C8" s="2" t="s">
        <v>448</v>
      </c>
      <c r="D8" s="2" t="s">
        <v>449</v>
      </c>
      <c r="E8" s="2" t="s">
        <v>450</v>
      </c>
      <c r="F8" s="2" t="s">
        <v>451</v>
      </c>
      <c r="G8" s="2"/>
      <c r="H8" s="2">
        <f t="shared" si="0"/>
        <v>0</v>
      </c>
    </row>
    <row r="9" spans="1:8">
      <c r="A9" s="2" t="s">
        <v>452</v>
      </c>
      <c r="B9" s="5">
        <v>0.05</v>
      </c>
      <c r="C9" s="2" t="s">
        <v>453</v>
      </c>
      <c r="D9" s="2" t="s">
        <v>454</v>
      </c>
      <c r="E9" s="2" t="s">
        <v>455</v>
      </c>
      <c r="F9" s="2" t="s">
        <v>456</v>
      </c>
      <c r="G9" s="2"/>
      <c r="H9" s="2">
        <f t="shared" si="0"/>
        <v>0</v>
      </c>
    </row>
    <row r="10" spans="1:8">
      <c r="A10" s="2" t="s">
        <v>457</v>
      </c>
      <c r="B10" s="5">
        <v>0.05</v>
      </c>
      <c r="C10" s="2" t="s">
        <v>458</v>
      </c>
      <c r="D10" s="2" t="s">
        <v>459</v>
      </c>
      <c r="E10" s="2" t="s">
        <v>460</v>
      </c>
      <c r="F10" s="2" t="s">
        <v>461</v>
      </c>
      <c r="G10" s="2"/>
      <c r="H10" s="2">
        <f t="shared" si="0"/>
        <v>0</v>
      </c>
    </row>
    <row r="11" spans="1:8">
      <c r="A11" s="2" t="s">
        <v>462</v>
      </c>
      <c r="B11" s="5">
        <v>0.05</v>
      </c>
      <c r="C11" s="2" t="s">
        <v>463</v>
      </c>
      <c r="D11" s="2" t="s">
        <v>464</v>
      </c>
      <c r="E11" s="2" t="s">
        <v>465</v>
      </c>
      <c r="F11" s="2" t="s">
        <v>466</v>
      </c>
      <c r="G11" s="2"/>
      <c r="H11" s="2">
        <f t="shared" si="0"/>
        <v>0</v>
      </c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 ht="15">
      <c r="A13" s="9" t="s">
        <v>467</v>
      </c>
      <c r="B13" s="9"/>
      <c r="C13" s="9"/>
      <c r="D13" s="9"/>
      <c r="E13" s="9"/>
      <c r="F13" s="9"/>
      <c r="G13" s="2"/>
      <c r="H13" s="6">
        <f>SUM(H2:H11)</f>
        <v>0</v>
      </c>
    </row>
  </sheetData>
  <mergeCells count="1">
    <mergeCell ref="A13:F13"/>
  </mergeCells>
  <dataValidations count="1">
    <dataValidation type="list" sqref="G2:G11" xr:uid="{00000000-0002-0000-0700-000000000000}">
      <formula1>"1,2,3,4"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1"/>
  <sheetViews>
    <sheetView workbookViewId="0"/>
  </sheetViews>
  <sheetFormatPr baseColWidth="10" defaultColWidth="9" defaultRowHeight="14.25"/>
  <cols>
    <col min="1" max="1" width="30" customWidth="1"/>
    <col min="2" max="2" width="10" customWidth="1"/>
    <col min="3" max="3" width="28" customWidth="1"/>
    <col min="4" max="4" width="20" customWidth="1"/>
    <col min="5" max="5" width="16" customWidth="1"/>
    <col min="6" max="6" width="18" customWidth="1"/>
    <col min="7" max="8" width="40" customWidth="1"/>
    <col min="9" max="9" width="45" customWidth="1"/>
  </cols>
  <sheetData>
    <row r="1" spans="1:9" ht="15">
      <c r="A1" s="3" t="s">
        <v>468</v>
      </c>
      <c r="B1" s="3" t="s">
        <v>469</v>
      </c>
      <c r="C1" s="3" t="s">
        <v>95</v>
      </c>
      <c r="D1" s="3" t="s">
        <v>470</v>
      </c>
      <c r="E1" s="3" t="s">
        <v>333</v>
      </c>
      <c r="F1" s="3" t="s">
        <v>471</v>
      </c>
      <c r="G1" s="3" t="s">
        <v>472</v>
      </c>
      <c r="H1" s="3" t="s">
        <v>473</v>
      </c>
      <c r="I1" s="3" t="s">
        <v>334</v>
      </c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</sheetData>
  <dataValidations count="3">
    <dataValidation type="list" sqref="B2:B31" xr:uid="{00000000-0002-0000-0800-000000000000}">
      <formula1>"1,2,3,4,5,6,7,8,9,10,11,12,13,14,15"</formula1>
    </dataValidation>
    <dataValidation type="list" sqref="D2:D31" xr:uid="{00000000-0002-0000-0800-000001000000}">
      <formula1>"Levantamiento,Alternativas,HLD,LLD,Prototipo,Pruebas,Costos,Defensa"</formula1>
    </dataValidation>
    <dataValidation type="list" sqref="E2:E31" xr:uid="{00000000-0002-0000-0800-000002000000}">
      <formula1>"No iniciado,En curso,En riesgo,Bloqueado,Entregado"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Guía Capstone</vt:lpstr>
      <vt:lpstr>Empresas</vt:lpstr>
      <vt:lpstr>Fichas de Casos</vt:lpstr>
      <vt:lpstr>Datos Técnicos</vt:lpstr>
      <vt:lpstr>Hitos y Entregables</vt:lpstr>
      <vt:lpstr>BOM y Costos</vt:lpstr>
      <vt:lpstr>Plan de Pruebas</vt:lpstr>
      <vt:lpstr>Evaluación</vt:lpstr>
      <vt:lpstr>Seguimiento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MA-Alumno</cp:lastModifiedBy>
  <dcterms:modified xsi:type="dcterms:W3CDTF">2026-08-14T23:42:23Z</dcterms:modified>
</cp:coreProperties>
</file>