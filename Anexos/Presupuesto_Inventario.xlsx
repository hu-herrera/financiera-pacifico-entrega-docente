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481871eb4849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ba4056e21c0a4d01"/>
    <x:sheet xmlns:r="http://schemas.openxmlformats.org/officeDocument/2006/relationships" name="Partidas" sheetId="2" r:id="Rf78a85ba9c424b5f"/>
    <x:sheet xmlns:r="http://schemas.openxmlformats.org/officeDocument/2006/relationships" name="Sedes" sheetId="3" r:id="Rad991d878ff340dd"/>
    <x:sheet xmlns:r="http://schemas.openxmlformats.org/officeDocument/2006/relationships" name="Servidores" sheetId="4" r:id="R25babeecf2d741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;(&quot;$&quot;#,##0);&quot;-&quot;"/>
    <x:numFmt numFmtId="201" formatCode="0.0%"/>
  </x:numFmts>
  <x:fonts count="7">
    <x:font>
      <x:sz val="11"/>
      <x:name val="Carlito"/>
    </x:font>
    <x:font>
      <x:sz val="11"/>
      <x:color rgb="FF172439"/>
      <x:name val="Arial"/>
    </x:font>
    <x:font>
      <x:b/>
      <x:sz val="16"/>
      <x:color rgb="FFFFFFFF"/>
      <x:name val="Arial"/>
    </x:font>
    <x:font>
      <x:i/>
      <x:sz val="10"/>
      <x:color rgb="FF172439"/>
      <x:name val="Arial"/>
    </x:font>
    <x:font>
      <x:b/>
      <x:sz val="11"/>
      <x:color rgb="FFFFFFFF"/>
      <x:name val="Arial"/>
    </x:font>
    <x:font>
      <x:sz val="11"/>
      <x:color rgb="FF1458A0"/>
      <x:name val="Arial"/>
    </x:font>
    <x:font>
      <x:b/>
      <x:sz val="11"/>
      <x:color rgb="FF17243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63D"/>
      </x:patternFill>
    </x:fill>
    <x:fill>
      <x:patternFill patternType="solid">
        <x:fgColor rgb="FFE7EE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3bf4fddd584a33" /><Relationship Type="http://schemas.openxmlformats.org/officeDocument/2006/relationships/theme" Target="/xl/theme/theme1.xml" Id="R10643dd614f5430f" /><Relationship Type="http://schemas.openxmlformats.org/officeDocument/2006/relationships/sharedStrings" Target="/xl/sharedStrings.xml" Id="R07ed290f68ac4b87" /><Relationship Type="http://schemas.openxmlformats.org/officeDocument/2006/relationships/worksheet" Target="/xl/worksheets/sheet1.xml" Id="Rba4056e21c0a4d01" /><Relationship Type="http://schemas.openxmlformats.org/officeDocument/2006/relationships/worksheet" Target="/xl/worksheets/sheet2.xml" Id="Rf78a85ba9c424b5f" /><Relationship Type="http://schemas.openxmlformats.org/officeDocument/2006/relationships/worksheet" Target="/xl/worksheets/sheet3.xml" Id="Rad991d878ff340dd" /><Relationship Type="http://schemas.openxmlformats.org/officeDocument/2006/relationships/worksheet" Target="/xl/worksheets/sheet4.xml" Id="R25babeecf2d741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30" hidden="0" customWidth="1"/>
    <x:col min="3" max="3" width="30" hidden="0" customWidth="1"/>
    <x:col min="4" max="4" width="4" hidden="0" customWidth="1"/>
  </x:cols>
  <x:sheetData>
    <x:row r="1" ht="26" customHeight="1">
      <x:c r="A1" s="4" t="str">
        <x:v>Financiera Pacífico — presupuesto A/B</x:v>
      </x:c>
      <x:c r="B1" s="5"/>
      <x:c r="C1" s="5"/>
      <x:c r="D1" s="5"/>
    </x:row>
    <x:row r="2" ht="26" customHeight="1">
      <x:c r="A2" s="5"/>
      <x:c r="B2" s="5"/>
      <x:c r="C2" s="5"/>
      <x:c r="D2" s="5"/>
    </x:row>
    <x:row r="3" ht="26" customHeight="1">
      <x:c r="A3" s="6" t="str">
        <x:v>25-10-2026. WAN-3: cuatro WAN por sede. CLP con IVA. Proyecto ficticio, 23 sedes y 650 puestos.</x:v>
      </x:c>
      <x:c r="B3" s="6"/>
      <x:c r="C3" s="6"/>
      <x:c r="D3" s="6"/>
    </x:row>
    <x:row r="4" ht="26" customHeight="1">
      <x:c r="A4" s="2"/>
      <x:c r="B4" s="2"/>
      <x:c r="C4" s="2"/>
      <x:c r="D4" s="2"/>
    </x:row>
    <x:row r="5" ht="30" customHeight="1">
      <x:c r="A5" s="7" t="str">
        <x:v>Concepto</x:v>
      </x:c>
      <x:c r="B5" s="7" t="str">
        <x:v>A · Cisco / Palo Alto</x:v>
      </x:c>
      <x:c r="C5" s="7" t="str">
        <x:v>B · MikroTik / OPNsense</x:v>
      </x:c>
      <x:c r="D5" s="2"/>
    </x:row>
    <x:row r="6" ht="26" customHeight="1">
      <x:c r="A6" s="2" t="str">
        <x:v>Subtotal de partidas</x:v>
      </x:c>
      <x:c r="B6" s="11" t="n">
        <x:f>SUMIFS('Partidas'!$F$5:$F$52,'Partidas'!$A$5:$A$52,"A")</x:f>
        <x:v>689675563</x:v>
      </x:c>
      <x:c r="C6" s="11" t="n">
        <x:f>SUMIFS('Partidas'!$F$5:$F$52,'Partidas'!$A$5:$A$52,"B")</x:f>
        <x:v>244516937</x:v>
      </x:c>
      <x:c r="D6" s="2"/>
    </x:row>
    <x:row r="7" ht="26" customHeight="1">
      <x:c r="A7" s="2" t="str">
        <x:v>Contingencia de implantación</x:v>
      </x:c>
      <x:c r="B7" s="11" t="n">
        <x:f>ROUND(B6*B18,0)</x:f>
        <x:v>103451334</x:v>
      </x:c>
      <x:c r="C7" s="11" t="n">
        <x:f>ROUND(C6*C18,0)</x:f>
        <x:v>36677541</x:v>
      </x:c>
      <x:c r="D7" s="2"/>
    </x:row>
    <x:row r="8" ht="34" customHeight="1">
      <x:c r="A8" s="16" t="str">
        <x:v>Inversión inicial</x:v>
      </x:c>
      <x:c r="B8" s="17" t="n">
        <x:f>SUM(B6:B7)</x:f>
        <x:v>793126897</x:v>
      </x:c>
      <x:c r="C8" s="17" t="n">
        <x:f>SUM(C6:C7)</x:f>
        <x:v>281194478</x:v>
      </x:c>
      <x:c r="D8" s="2"/>
    </x:row>
    <x:row r="9" ht="26" customHeight="1">
      <x:c r="A9" s="2" t="str">
        <x:v>Conectividad durante 60 meses</x:v>
      </x:c>
      <x:c r="B9" s="11" t="n">
        <x:f>B19*B20</x:f>
        <x:v>660607380</x:v>
      </x:c>
      <x:c r="C9" s="11" t="n">
        <x:f>C19*C20</x:f>
        <x:v>660607380</x:v>
      </x:c>
      <x:c r="D9" s="2"/>
    </x:row>
    <x:row r="10" ht="26" customHeight="1">
      <x:c r="A10" s="2" t="str">
        <x:v>Reserva de operación durante 5 años</x:v>
      </x:c>
      <x:c r="B10" s="11" t="n">
        <x:f>B21*B22</x:f>
        <x:v>50000000</x:v>
      </x:c>
      <x:c r="C10" s="11" t="n">
        <x:f>C21*C22</x:f>
        <x:v>25000000</x:v>
      </x:c>
      <x:c r="D10" s="2"/>
    </x:row>
    <x:row r="11" ht="34" customHeight="1">
      <x:c r="A11" s="16" t="str">
        <x:v>Costo del alcance durante 60 meses</x:v>
      </x:c>
      <x:c r="B11" s="17" t="n">
        <x:f>SUM(B8:B10)</x:f>
        <x:v>1503734277</x:v>
      </x:c>
      <x:c r="C11" s="17" t="n">
        <x:f>SUM(C8:C10)</x:f>
        <x:v>966801858</x:v>
      </x:c>
      <x:c r="D11" s="2"/>
    </x:row>
    <x:row r="12" ht="26" customHeight="1">
      <x:c r="A12" s="2" t="str">
        <x:v>Presupuesto original</x:v>
      </x:c>
      <x:c r="B12" s="11" t="n">
        <x:f>B23</x:f>
        <x:v>160000000</x:v>
      </x:c>
      <x:c r="C12" s="11" t="n">
        <x:f>C23</x:f>
        <x:v>160000000</x:v>
      </x:c>
      <x:c r="D12" s="2"/>
    </x:row>
    <x:row r="13" ht="26" customHeight="1">
      <x:c r="A13" s="2" t="str">
        <x:v>Exceso de inversión inicial</x:v>
      </x:c>
      <x:c r="B13" s="11" t="n">
        <x:f>B8-B12</x:f>
        <x:v>633126897</x:v>
      </x:c>
      <x:c r="C13" s="11" t="n">
        <x:f>C8-C12</x:f>
        <x:v>121194478</x:v>
      </x:c>
      <x:c r="D13" s="2"/>
    </x:row>
    <x:row r="14" ht="26" customHeight="1">
      <x:c r="A14" s="2"/>
      <x:c r="B14" s="2"/>
      <x:c r="C14" s="2"/>
      <x:c r="D14" s="2"/>
    </x:row>
    <x:row r="15" ht="26" customHeight="1">
      <x:c r="A15" s="2"/>
      <x:c r="B15" s="2"/>
      <x:c r="C15" s="2"/>
      <x:c r="D15" s="2"/>
    </x:row>
    <x:row r="16" ht="26" customHeight="1">
      <x:c r="A16" s="2"/>
      <x:c r="B16" s="2"/>
      <x:c r="C16" s="2"/>
      <x:c r="D16" s="2"/>
    </x:row>
    <x:row r="17" ht="30" customHeight="1">
      <x:c r="A17" s="7" t="str">
        <x:v>Supuestos editables</x:v>
      </x:c>
      <x:c r="B17" s="7" t="str">
        <x:v>A</x:v>
      </x:c>
      <x:c r="C17" s="7" t="str">
        <x:v>B</x:v>
      </x:c>
      <x:c r="D17" s="2"/>
    </x:row>
    <x:row r="18" ht="26" customHeight="1">
      <x:c r="A18" s="2" t="str">
        <x:v>Contingencia</x:v>
      </x:c>
      <x:c r="B18" s="13" t="n">
        <x:v>0.15</x:v>
      </x:c>
      <x:c r="C18" s="13" t="n">
        <x:v>0.15</x:v>
      </x:c>
      <x:c r="D18" s="2"/>
    </x:row>
    <x:row r="19" ht="26" customHeight="1">
      <x:c r="A19" s="2" t="str">
        <x:v>WAN mensual</x:v>
      </x:c>
      <x:c r="B19" s="10" t="n">
        <x:v>11010123</x:v>
      </x:c>
      <x:c r="C19" s="10" t="n">
        <x:v>11010123</x:v>
      </x:c>
      <x:c r="D19" s="2"/>
    </x:row>
    <x:row r="20" ht="26" customHeight="1">
      <x:c r="A20" s="2" t="str">
        <x:v>Meses de conectividad</x:v>
      </x:c>
      <x:c r="B20" s="9" t="n">
        <x:v>60</x:v>
      </x:c>
      <x:c r="C20" s="9" t="n">
        <x:v>60</x:v>
      </x:c>
      <x:c r="D20" s="2"/>
    </x:row>
    <x:row r="21" ht="26" customHeight="1">
      <x:c r="A21" s="2" t="str">
        <x:v>Reserva anual de operación</x:v>
      </x:c>
      <x:c r="B21" s="10" t="n">
        <x:v>10000000</x:v>
      </x:c>
      <x:c r="C21" s="10" t="n">
        <x:v>5000000</x:v>
      </x:c>
      <x:c r="D21" s="2"/>
    </x:row>
    <x:row r="22" ht="26" customHeight="1">
      <x:c r="A22" s="2" t="str">
        <x:v>Años de reserva</x:v>
      </x:c>
      <x:c r="B22" s="9" t="n">
        <x:v>5</x:v>
      </x:c>
      <x:c r="C22" s="9" t="n">
        <x:v>5</x:v>
      </x:c>
      <x:c r="D22" s="2"/>
    </x:row>
    <x:row r="23" ht="26" customHeight="1">
      <x:c r="A23" s="2" t="str">
        <x:v>Presupuesto original</x:v>
      </x:c>
      <x:c r="B23" s="10" t="n">
        <x:v>160000000</x:v>
      </x:c>
      <x:c r="C23" s="10" t="n">
        <x:v>160000000</x:v>
      </x:c>
      <x:c r="D23" s="2"/>
    </x:row>
    <x:row r="24" ht="26" customHeight="1">
      <x:c r="A24" s="2"/>
      <x:c r="B24" s="2"/>
      <x:c r="C24" s="2"/>
      <x:c r="D24" s="2"/>
    </x:row>
    <x:row r="25" ht="26" customHeight="1">
      <x:c r="A25" s="2" t="str">
        <x:v>Seis aperturas futuras fuera de las compras y mensualidades actuales.</x:v>
      </x:c>
      <x:c r="B25" s="2"/>
      <x:c r="C25" s="2"/>
      <x:c r="D25" s="2"/>
    </x:row>
    <x:row r="26" ht="26" customHeight="1">
      <x:c r="A26" s="8" t="str">
        <x:v>Las cantidades y unitarios de Partidas son editables. Los totales y esta comparación se recalculan. Las referencias de precio y las reservas están indicadas junto a cada partida.</x:v>
      </x:c>
      <x:c r="B26" s="8"/>
      <x:c r="C26" s="8"/>
      <x:c r="D26" s="8"/>
    </x:row>
    <x:row r="27" ht="26" customHeight="1">
      <x:c r="A27" s="8"/>
      <x:c r="B27" s="8"/>
      <x:c r="C27" s="8"/>
      <x:c r="D27" s="8"/>
    </x:row>
  </x:sheetData>
  <x:mergeCells>
    <x:mergeCell ref="A1:D2"/>
    <x:mergeCell ref="A3:D3"/>
    <x:mergeCell ref="A25:D25"/>
    <x:mergeCell ref="A26:D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5" hidden="0" customWidth="1"/>
    <x:col min="3" max="3" width="58" hidden="0" customWidth="1"/>
    <x:col min="4" max="4" width="12" hidden="0" customWidth="1"/>
    <x:col min="5" max="5" width="20" hidden="0" customWidth="1"/>
    <x:col min="6" max="6" width="20" hidden="0" customWidth="1"/>
    <x:col min="7" max="7" width="3" hidden="0" customWidth="1"/>
    <x:col min="8" max="8" width="78" hidden="0" customWidth="1"/>
  </x:cols>
  <x:sheetData>
    <x:row r="1" ht="26" customHeight="1">
      <x:c r="A1" s="4" t="str">
        <x:v>Partidas e inversión inicial</x:v>
      </x:c>
      <x:c r="B1" s="5"/>
      <x:c r="C1" s="5"/>
      <x:c r="D1" s="5"/>
      <x:c r="E1" s="5"/>
      <x:c r="F1" s="5"/>
      <x:c r="G1" s="5"/>
      <x:c r="H1" s="5"/>
    </x:row>
    <x:row r="2" ht="26" customHeight="1">
      <x:c r="A2" s="5"/>
      <x:c r="B2" s="5"/>
      <x:c r="C2" s="5"/>
      <x:c r="D2" s="5"/>
      <x:c r="E2" s="5"/>
      <x:c r="F2" s="5"/>
      <x:c r="G2" s="5"/>
      <x:c r="H2" s="5"/>
    </x:row>
    <x:row r="3" ht="26" customHeight="1">
      <x:c r="A3" s="2" t="str">
        <x:v>Unitarios brutos sin redondear. El total se redondea una vez por partida, igual que en el simulador.</x:v>
      </x:c>
      <x:c r="B3" s="2"/>
      <x:c r="C3" s="2"/>
      <x:c r="D3" s="2"/>
      <x:c r="E3" s="2"/>
      <x:c r="F3" s="2"/>
      <x:c r="G3" s="2"/>
      <x:c r="H3" s="2"/>
    </x:row>
    <x:row r="4" ht="30" customHeight="1">
      <x:c r="A4" s="7" t="str">
        <x:v>Opción</x:v>
      </x:c>
      <x:c r="B4" s="7" t="str">
        <x:v>ID</x:v>
      </x:c>
      <x:c r="C4" s="7" t="str">
        <x:v>Partida</x:v>
      </x:c>
      <x:c r="D4" s="7" t="str">
        <x:v>Cantidad</x:v>
      </x:c>
      <x:c r="E4" s="7" t="str">
        <x:v>Unitario bruto CLP</x:v>
      </x:c>
      <x:c r="F4" s="7" t="str">
        <x:v>Total bruto CLP</x:v>
      </x:c>
      <x:c r="G4" s="7" t="str"/>
      <x:c r="H4" s="7" t="str">
        <x:v>Fuente / reserva</x:v>
      </x:c>
    </x:row>
    <x:row r="5" ht="46" customHeight="1">
      <x:c r="A5" s="2" t="str">
        <x:v>A</x:v>
      </x:c>
      <x:c r="B5" s="2" t="str">
        <x:v>router</x:v>
      </x:c>
      <x:c r="C5" s="8" t="str">
        <x:v>Router sucursal, hardware base</x:v>
      </x:c>
      <x:c r="D5" s="9" t="n">
        <x:v>37</x:v>
      </x:c>
      <x:c r="E5" s="10" t="n">
        <x:v>1228758.3</x:v>
      </x:c>
      <x:c r="F5" s="11" t="n">
        <x:f>ROUND(D5*E5,0)</x:f>
        <x:v>45464057</x:v>
      </x:c>
      <x:c r="G5" s="2"/>
      <x:c r="H5" s="8" t="str">
        <x:v>https://www.ipexpress.cl/pyme/product_info.php/router-cisco-c1121x-8p-p-5439</x:v>
      </x:c>
    </x:row>
    <x:row r="6" ht="46" customHeight="1">
      <x:c r="A6" s="2" t="str">
        <x:v>A</x:v>
      </x:c>
      <x:c r="B6" s="2" t="str">
        <x:v>router_sec</x:v>
      </x:c>
      <x:c r="C6" s="8" t="str">
        <x:v>Licencia SEC por router nuevo</x:v>
      </x:c>
      <x:c r="D6" s="9" t="n">
        <x:v>37</x:v>
      </x:c>
      <x:c r="E6" s="10" t="n">
        <x:v>1050472.5</x:v>
      </x:c>
      <x:c r="F6" s="11" t="n">
        <x:f>ROUND(D6*E6,0)</x:f>
        <x:v>38867483</x:v>
      </x:c>
      <x:c r="G6" s="2"/>
      <x:c r="H6" s="8" t="str">
        <x:v>https://www.cdw.com/product/cisco-security-smart-license/5763463</x:v>
      </x:c>
    </x:row>
    <x:row r="7" ht="46" customHeight="1">
      <x:c r="A7" s="2" t="str">
        <x:v>A</x:v>
      </x:c>
      <x:c r="B7" s="2" t="str">
        <x:v>router_vperf</x:v>
      </x:c>
      <x:c r="C7" s="8" t="str">
        <x:v>Licencia VPERF por router nuevo</x:v>
      </x:c>
      <x:c r="D7" s="9" t="n">
        <x:v>37</x:v>
      </x:c>
      <x:c r="E7" s="10" t="n">
        <x:v>2618000</x:v>
      </x:c>
      <x:c r="F7" s="11" t="n">
        <x:f>ROUND(D7*E7,0)</x:f>
        <x:v>96866000</x:v>
      </x:c>
      <x:c r="G7" s="2"/>
      <x:c r="H7" s="8" t="str">
        <x:v>https://www.cisco.com/c/en/us/products/collateral/routers/1000-series-integrated-services-routers-isr/datasheet-c78-739512.html</x:v>
      </x:c>
    </x:row>
    <x:row r="8" ht="46" customHeight="1">
      <x:c r="A8" s="2" t="str">
        <x:v>A</x:v>
      </x:c>
      <x:c r="B8" s="2" t="str">
        <x:v>switch</x:v>
      </x:c>
      <x:c r="C8" s="8" t="str">
        <x:v>Switch nuevo 24 puertos PoE, Network Essentials</x:v>
      </x:c>
      <x:c r="D8" s="9" t="n">
        <x:v>27</x:v>
      </x:c>
      <x:c r="E8" s="10" t="n">
        <x:v>2510119.36</x:v>
      </x:c>
      <x:c r="F8" s="11" t="n">
        <x:f>ROUND(D8*E8,0)</x:f>
        <x:v>67773223</x:v>
      </x:c>
      <x:c r="G8" s="2"/>
      <x:c r="H8" s="8" t="str">
        <x:v>https://www.ipexpress.cl/pyme/product_info.php/switch-cisco-c9200l-24p-4g-p-4179</x:v>
      </x:c>
    </x:row>
    <x:row r="9" ht="46" customHeight="1">
      <x:c r="A9" s="2" t="str">
        <x:v>A</x:v>
      </x:c>
      <x:c r="B9" s="2" t="str">
        <x:v>switch_term</x:v>
      </x:c>
      <x:c r="C9" s="8" t="str">
        <x:v>Suscripción inicial switch nuevo, 3 años</x:v>
      </x:c>
      <x:c r="D9" s="9" t="n">
        <x:v>27</x:v>
      </x:c>
      <x:c r="E9" s="10" t="n">
        <x:v>962698.1</x:v>
      </x:c>
      <x:c r="F9" s="11" t="n">
        <x:f>ROUND(D9*E9,0)</x:f>
        <x:v>25992849</x:v>
      </x:c>
      <x:c r="G9" s="2"/>
      <x:c r="H9" s="8" t="str">
        <x:v>https://www.cdw.com/product/cisco-digital-network-architecture-essentials-term-license-3-years-24/5380357</x:v>
      </x:c>
    </x:row>
    <x:row r="10" ht="46" customHeight="1">
      <x:c r="A10" s="2" t="str">
        <x:v>A</x:v>
      </x:c>
      <x:c r="B10" s="2" t="str">
        <x:v>stack_kit</x:v>
      </x:c>
      <x:c r="C10" s="8" t="str">
        <x:v>Kit stack completo por miembro</x:v>
      </x:c>
      <x:c r="D10" s="9" t="n">
        <x:v>46</x:v>
      </x:c>
      <x:c r="E10" s="10" t="n">
        <x:v>1047438</x:v>
      </x:c>
      <x:c r="F10" s="11" t="n">
        <x:f>ROUND(D10*E10,0)</x:f>
        <x:v>48182148</x:v>
      </x:c>
      <x:c r="G10" s="2"/>
      <x:c r="H10" s="8" t="str">
        <x:v>https://networkdevicesinc.com/products/c9200l-stack-kit</x:v>
      </x:c>
    </x:row>
    <x:row r="11" ht="46" customHeight="1">
      <x:c r="A11" s="2" t="str">
        <x:v>A</x:v>
      </x:c>
      <x:c r="B11" s="2" t="str">
        <x:v>firewall</x:v>
      </x:c>
      <x:c r="C11" s="8" t="str">
        <x:v>Firewall central hardware</x:v>
      </x:c>
      <x:c r="D11" s="9" t="n">
        <x:v>2</x:v>
      </x:c>
      <x:c r="E11" s="10" t="n">
        <x:v>14632002</x:v>
      </x:c>
      <x:c r="F11" s="11" t="n">
        <x:f>ROUND(D11*E11,0)</x:f>
        <x:v>29264004</x:v>
      </x:c>
      <x:c r="G11" s="2"/>
      <x:c r="H11" s="8" t="str">
        <x:v>https://networkdevicesinc.com/products/pan-pa-1410</x:v>
      </x:c>
    </x:row>
    <x:row r="12" ht="46" customHeight="1">
      <x:c r="A12" s="2" t="str">
        <x:v>A</x:v>
      </x:c>
      <x:c r="B12" s="2" t="str">
        <x:v>firewall_atp</x:v>
      </x:c>
      <x:c r="C12" s="8" t="str">
        <x:v>ATP central 60 meses por miembro HA</x:v>
      </x:c>
      <x:c r="D12" s="9" t="n">
        <x:v>2</x:v>
      </x:c>
      <x:c r="E12" s="10" t="n">
        <x:v>15261750</x:v>
      </x:c>
      <x:c r="F12" s="11" t="n">
        <x:f>ROUND(D12*E12,0)</x:f>
        <x:v>30523500</x:v>
      </x:c>
      <x:c r="G12" s="2"/>
      <x:c r="H12" s="8" t="str">
        <x:v>https://networkdevicesinc.com/products/pan-pa-1410-atp-5yr</x:v>
      </x:c>
    </x:row>
    <x:row r="13" ht="46" customHeight="1">
      <x:c r="A13" s="2" t="str">
        <x:v>A</x:v>
      </x:c>
      <x:c r="B13" s="2" t="str">
        <x:v>firewall_support</x:v>
      </x:c>
      <x:c r="C13" s="8" t="str">
        <x:v>Soporte fabricante PA-1410, 60 meses</x:v>
      </x:c>
      <x:c r="D13" s="9" t="n">
        <x:v>2</x:v>
      </x:c>
      <x:c r="E13" s="10" t="n">
        <x:v>12495000</x:v>
      </x:c>
      <x:c r="F13" s="11" t="n">
        <x:f>ROUND(D13*E13,0)</x:f>
        <x:v>24990000</x:v>
      </x:c>
      <x:c r="G13" s="2"/>
      <x:c r="H13" s="8" t="str">
        <x:v>https://www.layer7.co.za/firewalls/pa-1400/pa-1410</x:v>
      </x:c>
    </x:row>
    <x:row r="14" ht="46" customHeight="1">
      <x:c r="A14" s="2" t="str">
        <x:v>A</x:v>
      </x:c>
      <x:c r="B14" s="2" t="str">
        <x:v>wan_ge</x:v>
      </x:c>
      <x:c r="C14" s="8" t="str">
        <x:v>Distribuidor WAN MikroTik hEX E50UG, bridge VLAN</x:v>
      </x:c>
      <x:c r="D14" s="9" t="n">
        <x:v>45</x:v>
      </x:c>
      <x:c r="E14" s="10" t="n">
        <x:v>77048</x:v>
      </x:c>
      <x:c r="F14" s="11" t="n">
        <x:f>ROUND(D14*E14,0)</x:f>
        <x:v>3467160</x:v>
      </x:c>
      <x:c r="G14" s="2"/>
      <x:c r="H14" s="8" t="str">
        <x:v>https://mikrotik.com/product/hex_2024</x:v>
      </x:c>
    </x:row>
    <x:row r="15" ht="46" customHeight="1">
      <x:c r="A15" s="2" t="str">
        <x:v>A</x:v>
      </x:c>
      <x:c r="B15" s="2" t="str">
        <x:v>wan_mgig</x:v>
      </x:c>
      <x:c r="C15" s="8" t="str">
        <x:v>Distribuidor WAN-A central MikroTik CRS310, bridge VLAN 2,5G</x:v>
      </x:c>
      <x:c r="D15" s="9" t="n">
        <x:v>1</x:v>
      </x:c>
      <x:c r="E15" s="10" t="n">
        <x:v>281459</x:v>
      </x:c>
      <x:c r="F15" s="11" t="n">
        <x:f>ROUND(D15*E15,0)</x:f>
        <x:v>281459</x:v>
      </x:c>
      <x:c r="G15" s="2"/>
      <x:c r="H15" s="8" t="str">
        <x:v>https://mikrotik.com/product/crs310_8g_2s_in</x:v>
      </x:c>
    </x:row>
    <x:row r="16" ht="46" customHeight="1">
      <x:c r="A16" s="2" t="str">
        <x:v>A</x:v>
      </x:c>
      <x:c r="B16" s="2" t="str">
        <x:v>cpe_5g</x:v>
      </x:c>
      <x:c r="C16" s="8" t="str">
        <x:v>CPE móvil Entel 5G, comprado</x:v>
      </x:c>
      <x:c r="D16" s="9" t="n">
        <x:v>23</x:v>
      </x:c>
      <x:c r="E16" s="10" t="n">
        <x:v>342850</x:v>
      </x:c>
      <x:c r="F16" s="11" t="n">
        <x:f>ROUND(D16*E16,0)</x:f>
        <x:v>7885550</x:v>
      </x:c>
      <x:c r="G16" s="2"/>
      <x:c r="H16" s="8" t="str">
        <x:v>https://www.spdigital.cl/router-tp-link-archer-nx500-5g-ax3000-wi-fi-6-dual-band-467-gbps-5g-easymesh-y-plug-and-play/</x:v>
      </x:c>
    </x:row>
    <x:row r="17" ht="46" customHeight="1">
      <x:c r="A17" s="2" t="str">
        <x:v>A</x:v>
      </x:c>
      <x:c r="B17" s="2" t="str">
        <x:v>cpe_4g</x:v>
      </x:c>
      <x:c r="C17" s="8" t="str">
        <x:v>CPE móvil WOM 4G, comprado</x:v>
      </x:c>
      <x:c r="D17" s="9" t="n">
        <x:v>23</x:v>
      </x:c>
      <x:c r="E17" s="10" t="n">
        <x:v>158790</x:v>
      </x:c>
      <x:c r="F17" s="11" t="n">
        <x:f>ROUND(D17*E17,0)</x:f>
        <x:v>3652170</x:v>
      </x:c>
      <x:c r="G17" s="2"/>
      <x:c r="H17" s="8" t="str">
        <x:v>https://www.spdigital.cl/4g-cat6-ac1200-wireless-dual-band-gigabit-router/</x:v>
      </x:c>
    </x:row>
    <x:row r="18" ht="46" customHeight="1">
      <x:c r="A18" s="2" t="str">
        <x:v>A</x:v>
      </x:c>
      <x:c r="B18" s="2" t="str">
        <x:v>ap</x:v>
      </x:c>
      <x:c r="C18" s="8" t="str">
        <x:v>AP Wi-Fi de contingencia</x:v>
      </x:c>
      <x:c r="D18" s="9" t="n">
        <x:v>48</x:v>
      </x:c>
      <x:c r="E18" s="10" t="n">
        <x:v>300000</x:v>
      </x:c>
      <x:c r="F18" s="11" t="n">
        <x:f>ROUND(D18*E18,0)</x:f>
        <x:v>14400000</x:v>
      </x:c>
      <x:c r="G18" s="2"/>
      <x:c r="H18" s="8" t="str">
        <x:v>https://www.cisco.com/c/en/us/products/collateral/wireless/business-100-series-access-points/business-access-point-ds.html</x:v>
      </x:c>
    </x:row>
    <x:row r="19" ht="46" customHeight="1">
      <x:c r="A19" s="2" t="str">
        <x:v>A</x:v>
      </x:c>
      <x:c r="B19" s="2" t="str">
        <x:v>pc_wifi</x:v>
      </x:c>
      <x:c r="C19" s="8" t="str">
        <x:v>Reserva máxima Wi-Fi PCs existentes</x:v>
      </x:c>
      <x:c r="D19" s="9" t="n">
        <x:v>650</x:v>
      </x:c>
      <x:c r="E19" s="10" t="n">
        <x:v>50000</x:v>
      </x:c>
      <x:c r="F19" s="11" t="n">
        <x:f>ROUND(D19*E19,0)</x:f>
        <x:v>32500000</x:v>
      </x:c>
      <x:c r="G19" s="2"/>
      <x:c r="H19" s="8" t="str">
        <x:v>RESERVA_INGENIERIA</x:v>
      </x:c>
    </x:row>
    <x:row r="20" ht="46" customHeight="1">
      <x:c r="A20" s="2" t="str">
        <x:v>A</x:v>
      </x:c>
      <x:c r="B20" s="2" t="str">
        <x:v>psu_600</x:v>
      </x:c>
      <x:c r="C20" s="8" t="str">
        <x:v>Segunda fuente switches 24P</x:v>
      </x:c>
      <x:c r="D20" s="9" t="n">
        <x:v>29</x:v>
      </x:c>
      <x:c r="E20" s="10" t="n">
        <x:v>1026874.7999999999</x:v>
      </x:c>
      <x:c r="F20" s="11" t="n">
        <x:f>ROUND(D20*E20,0)</x:f>
        <x:v>29779369</x:v>
      </x:c>
      <x:c r="G20" s="2"/>
      <x:c r="H20" s="8" t="str">
        <x:v>https://networkdevicesinc.com/products/pwr-c5-600wac</x:v>
      </x:c>
    </x:row>
    <x:row r="21" ht="46" customHeight="1">
      <x:c r="A21" s="2" t="str">
        <x:v>A</x:v>
      </x:c>
      <x:c r="B21" s="2" t="str">
        <x:v>psu_1000</x:v>
      </x:c>
      <x:c r="C21" s="8" t="str">
        <x:v>Segunda fuente switches 48P</x:v>
      </x:c>
      <x:c r="D21" s="9" t="n">
        <x:v>17</x:v>
      </x:c>
      <x:c r="E21" s="10" t="n">
        <x:v>3808034.748</x:v>
      </x:c>
      <x:c r="F21" s="11" t="n">
        <x:f>ROUND(D21*E21,0)</x:f>
        <x:v>64736591</x:v>
      </x:c>
      <x:c r="G21" s="2"/>
      <x:c r="H21" s="8" t="str">
        <x:v>https://www.cdw.com/product/cisco-config-5-power-supply-hot-plug-1000-watt/5400630</x:v>
      </x:c>
    </x:row>
    <x:row r="22" ht="46" customHeight="1">
      <x:c r="A22" s="2" t="str">
        <x:v>A</x:v>
      </x:c>
      <x:c r="B22" s="2" t="str">
        <x:v>fw_psu</x:v>
      </x:c>
      <x:c r="C22" s="8" t="str">
        <x:v>Reserva segunda fuente firewall central</x:v>
      </x:c>
      <x:c r="D22" s="9" t="n">
        <x:v>2</x:v>
      </x:c>
      <x:c r="E22" s="10" t="n">
        <x:v>900000</x:v>
      </x:c>
      <x:c r="F22" s="11" t="n">
        <x:f>ROUND(D22*E22,0)</x:f>
        <x:v>1800000</x:v>
      </x:c>
      <x:c r="G22" s="2"/>
      <x:c r="H22" s="8" t="str">
        <x:v>RESERVA_INGENIERIA</x:v>
      </x:c>
    </x:row>
    <x:row r="23" ht="46" customHeight="1">
      <x:c r="A23" s="2" t="str">
        <x:v>A</x:v>
      </x:c>
      <x:c r="B23" s="2" t="str">
        <x:v>lan_optics</x:v>
      </x:c>
      <x:c r="C23" s="8" t="str">
        <x:v>Transceptores LAN central 10G</x:v>
      </x:c>
      <x:c r="D23" s="9" t="n">
        <x:v>8</x:v>
      </x:c>
      <x:c r="E23" s="10" t="n">
        <x:v>300000</x:v>
      </x:c>
      <x:c r="F23" s="11" t="n">
        <x:f>ROUND(D23*E23,0)</x:f>
        <x:v>2400000</x:v>
      </x:c>
      <x:c r="G23" s="2"/>
      <x:c r="H23" s="8" t="str">
        <x:v>RESERVA_INGENIERIA</x:v>
      </x:c>
    </x:row>
    <x:row r="24" ht="46" customHeight="1">
      <x:c r="A24" s="2" t="str">
        <x:v>A</x:v>
      </x:c>
      <x:c r="B24" s="2" t="str">
        <x:v>fiber_patch</x:v>
      </x:c>
      <x:c r="C24" s="8" t="str">
        <x:v>Latiguillo óptico central</x:v>
      </x:c>
      <x:c r="D24" s="9" t="n">
        <x:v>4</x:v>
      </x:c>
      <x:c r="E24" s="10" t="n">
        <x:v>50000</x:v>
      </x:c>
      <x:c r="F24" s="11" t="n">
        <x:f>ROUND(D24*E24,0)</x:f>
        <x:v>200000</x:v>
      </x:c>
      <x:c r="G24" s="2"/>
      <x:c r="H24" s="8" t="str">
        <x:v>RESERVA_INGENIERIA</x:v>
      </x:c>
    </x:row>
    <x:row r="25" ht="46" customHeight="1">
      <x:c r="A25" s="2" t="str">
        <x:v>A</x:v>
      </x:c>
      <x:c r="B25" s="2" t="str">
        <x:v>hsci</x:v>
      </x:c>
      <x:c r="C25" s="8" t="str">
        <x:v>Cable HA2 HSCI central</x:v>
      </x:c>
      <x:c r="D25" s="9" t="n">
        <x:v>1</x:v>
      </x:c>
      <x:c r="E25" s="10" t="n">
        <x:v>250000</x:v>
      </x:c>
      <x:c r="F25" s="11" t="n">
        <x:f>ROUND(D25*E25,0)</x:f>
        <x:v>250000</x:v>
      </x:c>
      <x:c r="G25" s="2"/>
      <x:c r="H25" s="8" t="str">
        <x:v>RESERVA_INGENIERIA</x:v>
      </x:c>
    </x:row>
    <x:row r="26" ht="46" customHeight="1">
      <x:c r="A26" s="2" t="str">
        <x:v>A</x:v>
      </x:c>
      <x:c r="B26" s="2" t="str">
        <x:v>rack_patch</x:v>
      </x:c>
      <x:c r="C26" s="8" t="str">
        <x:v>Cat6, organización y accesorios de montaje</x:v>
      </x:c>
      <x:c r="D26" s="9" t="n">
        <x:v>23</x:v>
      </x:c>
      <x:c r="E26" s="10" t="n">
        <x:v>800000</x:v>
      </x:c>
      <x:c r="F26" s="11" t="n">
        <x:f>ROUND(D26*E26,0)</x:f>
        <x:v>18400000</x:v>
      </x:c>
      <x:c r="G26" s="2"/>
      <x:c r="H26" s="8" t="str">
        <x:v>RESERVA_INGENIERIA</x:v>
      </x:c>
    </x:row>
    <x:row r="27" ht="46" customHeight="1">
      <x:c r="A27" s="2" t="str">
        <x:v>A</x:v>
      </x:c>
      <x:c r="B27" s="2" t="str">
        <x:v>rf_survey</x:v>
      </x:c>
      <x:c r="C27" s="8" t="str">
        <x:v>Diseño RF, instalación y aceptación Wi-Fi</x:v>
      </x:c>
      <x:c r="D27" s="9" t="n">
        <x:v>23</x:v>
      </x:c>
      <x:c r="E27" s="10" t="n">
        <x:v>500000</x:v>
      </x:c>
      <x:c r="F27" s="11" t="n">
        <x:f>ROUND(D27*E27,0)</x:f>
        <x:v>11500000</x:v>
      </x:c>
      <x:c r="G27" s="2"/>
      <x:c r="H27" s="8" t="str">
        <x:v>RESERVA_INGENIERIA</x:v>
      </x:c>
    </x:row>
    <x:row r="28" ht="46" customHeight="1">
      <x:c r="A28" s="2" t="str">
        <x:v>A</x:v>
      </x:c>
      <x:c r="B28" s="2" t="str">
        <x:v>deployment</x:v>
      </x:c>
      <x:c r="C28" s="8" t="str">
        <x:v>Implantación y migración de red por sede</x:v>
      </x:c>
      <x:c r="D28" s="9" t="n">
        <x:v>23</x:v>
      </x:c>
      <x:c r="E28" s="10" t="n">
        <x:v>2500000</x:v>
      </x:c>
      <x:c r="F28" s="11" t="n">
        <x:f>ROUND(D28*E28,0)</x:f>
        <x:v>57500000</x:v>
      </x:c>
      <x:c r="G28" s="2"/>
      <x:c r="H28" s="8" t="str">
        <x:v>RESERVA_INGENIERIA</x:v>
      </x:c>
    </x:row>
    <x:row r="29" ht="46" customHeight="1">
      <x:c r="A29" s="2" t="str">
        <x:v>A</x:v>
      </x:c>
      <x:c r="B29" s="2" t="str">
        <x:v>regional_logistics</x:v>
      </x:c>
      <x:c r="C29" s="8" t="str">
        <x:v>Traslados regionales y logística de implantación</x:v>
      </x:c>
      <x:c r="D29" s="9" t="n">
        <x:v>1</x:v>
      </x:c>
      <x:c r="E29" s="10" t="n">
        <x:v>25000000</x:v>
      </x:c>
      <x:c r="F29" s="11" t="n">
        <x:f>ROUND(D29*E29,0)</x:f>
        <x:v>25000000</x:v>
      </x:c>
      <x:c r="G29" s="2"/>
      <x:c r="H29" s="8" t="str">
        <x:v>RESERVA_INGENIERIA</x:v>
      </x:c>
    </x:row>
    <x:row r="30" ht="46" customHeight="1">
      <x:c r="A30" s="2" t="str">
        <x:v>A</x:v>
      </x:c>
      <x:c r="B30" s="2" t="str">
        <x:v>central_engineering</x:v>
      </x:c>
      <x:c r="C30" s="8" t="str">
        <x:v>Ingeniería común, laboratorio y documentación</x:v>
      </x:c>
      <x:c r="D30" s="9" t="n">
        <x:v>1</x:v>
      </x:c>
      <x:c r="E30" s="10" t="n">
        <x:v>6550000</x:v>
      </x:c>
      <x:c r="F30" s="11" t="n">
        <x:f>ROUND(D30*E30,0)</x:f>
        <x:v>6550000</x:v>
      </x:c>
      <x:c r="G30" s="2"/>
      <x:c r="H30" s="8" t="str">
        <x:v>RESERVA_INGENIERIA</x:v>
      </x:c>
    </x:row>
    <x:row r="31" ht="46" customHeight="1">
      <x:c r="A31" s="2" t="str">
        <x:v>A</x:v>
      </x:c>
      <x:c r="B31" s="2" t="str">
        <x:v>ha_dc2_memory</x:v>
      </x:c>
      <x:c r="C31" s="8" t="str">
        <x:v>DC-02: ampliación de 32 a 64 GiB RAM</x:v>
      </x:c>
      <x:c r="D31" s="9" t="n">
        <x:v>1</x:v>
      </x:c>
      <x:c r="E31" s="10" t="n">
        <x:v>250000</x:v>
      </x:c>
      <x:c r="F31" s="11" t="n">
        <x:f>ROUND(D31*E31,0)</x:f>
        <x:v>250000</x:v>
      </x:c>
      <x:c r="G31" s="2"/>
      <x:c r="H31" s="8" t="str">
        <x:v>RESERVA_INGENIERIA</x:v>
      </x:c>
    </x:row>
    <x:row r="32" ht="46" customHeight="1">
      <x:c r="A32" s="2" t="str">
        <x:v>A</x:v>
      </x:c>
      <x:c r="B32" s="2" t="str">
        <x:v>ha_dc2_storage</x:v>
      </x:c>
      <x:c r="C32" s="8" t="str">
        <x:v>DC-02: par SSD empresarial 3,84 TB en espejo</x:v>
      </x:c>
      <x:c r="D32" s="9" t="n">
        <x:v>1</x:v>
      </x:c>
      <x:c r="E32" s="10" t="n">
        <x:v>1200000</x:v>
      </x:c>
      <x:c r="F32" s="11" t="n">
        <x:f>ROUND(D32*E32,0)</x:f>
        <x:v>1200000</x:v>
      </x:c>
      <x:c r="G32" s="2"/>
      <x:c r="H32" s="8" t="str">
        <x:v>RESERVA_INGENIERIA</x:v>
      </x:c>
    </x:row>
    <x:row r="33" ht="46" customHeight="1">
      <x:c r="A33" s="2" t="str">
        <x:v>B</x:v>
      </x:c>
      <x:c r="B33" s="2" t="str">
        <x:v>cpe_5g</x:v>
      </x:c>
      <x:c r="C33" s="8" t="str">
        <x:v>CPE móvil Entel 5G, comprado</x:v>
      </x:c>
      <x:c r="D33" s="9" t="n">
        <x:v>23</x:v>
      </x:c>
      <x:c r="E33" s="10" t="n">
        <x:v>342850</x:v>
      </x:c>
      <x:c r="F33" s="11" t="n">
        <x:f>ROUND(D33*E33,0)</x:f>
        <x:v>7885550</x:v>
      </x:c>
      <x:c r="G33" s="2"/>
      <x:c r="H33" s="8" t="str">
        <x:v>https://www.spdigital.cl/router-tp-link-archer-nx500-5g-ax3000-wi-fi-6-dual-band-467-gbps-5g-easymesh-y-plug-and-play/</x:v>
      </x:c>
    </x:row>
    <x:row r="34" ht="46" customHeight="1">
      <x:c r="A34" s="2" t="str">
        <x:v>B</x:v>
      </x:c>
      <x:c r="B34" s="2" t="str">
        <x:v>cpe_4g</x:v>
      </x:c>
      <x:c r="C34" s="8" t="str">
        <x:v>CPE móvil WOM 4G, comprado</x:v>
      </x:c>
      <x:c r="D34" s="9" t="n">
        <x:v>23</x:v>
      </x:c>
      <x:c r="E34" s="10" t="n">
        <x:v>158790</x:v>
      </x:c>
      <x:c r="F34" s="11" t="n">
        <x:f>ROUND(D34*E34,0)</x:f>
        <x:v>3652170</x:v>
      </x:c>
      <x:c r="G34" s="2"/>
      <x:c r="H34" s="8" t="str">
        <x:v>https://www.spdigital.cl/4g-cat6-ac1200-wireless-dual-band-gigabit-router/</x:v>
      </x:c>
    </x:row>
    <x:row r="35" ht="46" customHeight="1">
      <x:c r="A35" s="2" t="str">
        <x:v>B</x:v>
      </x:c>
      <x:c r="B35" s="2" t="str">
        <x:v>ap</x:v>
      </x:c>
      <x:c r="C35" s="8" t="str">
        <x:v>AP Wi-Fi de contingencia</x:v>
      </x:c>
      <x:c r="D35" s="9" t="n">
        <x:v>48</x:v>
      </x:c>
      <x:c r="E35" s="10" t="n">
        <x:v>300000</x:v>
      </x:c>
      <x:c r="F35" s="11" t="n">
        <x:f>ROUND(D35*E35,0)</x:f>
        <x:v>14400000</x:v>
      </x:c>
      <x:c r="G35" s="2"/>
      <x:c r="H35" s="8" t="str">
        <x:v>https://www.cisco.com/c/en/us/products/collateral/wireless/business-100-series-access-points/business-access-point-ds.html</x:v>
      </x:c>
    </x:row>
    <x:row r="36" ht="46" customHeight="1">
      <x:c r="A36" s="2" t="str">
        <x:v>B</x:v>
      </x:c>
      <x:c r="B36" s="2" t="str">
        <x:v>pc_wifi</x:v>
      </x:c>
      <x:c r="C36" s="8" t="str">
        <x:v>Reserva máxima Wi-Fi PCs existentes</x:v>
      </x:c>
      <x:c r="D36" s="9" t="n">
        <x:v>650</x:v>
      </x:c>
      <x:c r="E36" s="10" t="n">
        <x:v>50000</x:v>
      </x:c>
      <x:c r="F36" s="11" t="n">
        <x:f>ROUND(D36*E36,0)</x:f>
        <x:v>32500000</x:v>
      </x:c>
      <x:c r="G36" s="2"/>
      <x:c r="H36" s="8" t="str">
        <x:v>RESERVA_INGENIERIA</x:v>
      </x:c>
    </x:row>
    <x:row r="37" ht="46" customHeight="1">
      <x:c r="A37" s="2" t="str">
        <x:v>B</x:v>
      </x:c>
      <x:c r="B37" s="2" t="str">
        <x:v>lan_optics</x:v>
      </x:c>
      <x:c r="C37" s="8" t="str">
        <x:v>Transceptores LAN central 10G</x:v>
      </x:c>
      <x:c r="D37" s="9" t="n">
        <x:v>8</x:v>
      </x:c>
      <x:c r="E37" s="10" t="n">
        <x:v>300000</x:v>
      </x:c>
      <x:c r="F37" s="11" t="n">
        <x:f>ROUND(D37*E37,0)</x:f>
        <x:v>2400000</x:v>
      </x:c>
      <x:c r="G37" s="2"/>
      <x:c r="H37" s="8" t="str">
        <x:v>RESERVA_INGENIERIA</x:v>
      </x:c>
    </x:row>
    <x:row r="38" ht="46" customHeight="1">
      <x:c r="A38" s="2" t="str">
        <x:v>B</x:v>
      </x:c>
      <x:c r="B38" s="2" t="str">
        <x:v>fiber_patch</x:v>
      </x:c>
      <x:c r="C38" s="8" t="str">
        <x:v>Latiguillo óptico central</x:v>
      </x:c>
      <x:c r="D38" s="9" t="n">
        <x:v>4</x:v>
      </x:c>
      <x:c r="E38" s="10" t="n">
        <x:v>50000</x:v>
      </x:c>
      <x:c r="F38" s="11" t="n">
        <x:f>ROUND(D38*E38,0)</x:f>
        <x:v>200000</x:v>
      </x:c>
      <x:c r="G38" s="2"/>
      <x:c r="H38" s="8" t="str">
        <x:v>RESERVA_INGENIERIA</x:v>
      </x:c>
    </x:row>
    <x:row r="39" ht="46" customHeight="1">
      <x:c r="A39" s="2" t="str">
        <x:v>B</x:v>
      </x:c>
      <x:c r="B39" s="2" t="str">
        <x:v>rack_patch</x:v>
      </x:c>
      <x:c r="C39" s="8" t="str">
        <x:v>Cat6, organización y accesorios de montaje</x:v>
      </x:c>
      <x:c r="D39" s="9" t="n">
        <x:v>23</x:v>
      </x:c>
      <x:c r="E39" s="10" t="n">
        <x:v>800000</x:v>
      </x:c>
      <x:c r="F39" s="11" t="n">
        <x:f>ROUND(D39*E39,0)</x:f>
        <x:v>18400000</x:v>
      </x:c>
      <x:c r="G39" s="2"/>
      <x:c r="H39" s="8" t="str">
        <x:v>RESERVA_INGENIERIA</x:v>
      </x:c>
    </x:row>
    <x:row r="40" ht="46" customHeight="1">
      <x:c r="A40" s="2" t="str">
        <x:v>B</x:v>
      </x:c>
      <x:c r="B40" s="2" t="str">
        <x:v>rf_survey</x:v>
      </x:c>
      <x:c r="C40" s="8" t="str">
        <x:v>Diseño RF, instalación y aceptación Wi-Fi</x:v>
      </x:c>
      <x:c r="D40" s="9" t="n">
        <x:v>23</x:v>
      </x:c>
      <x:c r="E40" s="10" t="n">
        <x:v>500000</x:v>
      </x:c>
      <x:c r="F40" s="11" t="n">
        <x:f>ROUND(D40*E40,0)</x:f>
        <x:v>11500000</x:v>
      </x:c>
      <x:c r="G40" s="2"/>
      <x:c r="H40" s="8" t="str">
        <x:v>RESERVA_INGENIERIA</x:v>
      </x:c>
    </x:row>
    <x:row r="41" ht="46" customHeight="1">
      <x:c r="A41" s="2" t="str">
        <x:v>B</x:v>
      </x:c>
      <x:c r="B41" s="2" t="str">
        <x:v>deployment</x:v>
      </x:c>
      <x:c r="C41" s="8" t="str">
        <x:v>Implantación y migración de red por sede</x:v>
      </x:c>
      <x:c r="D41" s="9" t="n">
        <x:v>23</x:v>
      </x:c>
      <x:c r="E41" s="10" t="n">
        <x:v>2500000</x:v>
      </x:c>
      <x:c r="F41" s="11" t="n">
        <x:f>ROUND(D41*E41,0)</x:f>
        <x:v>57500000</x:v>
      </x:c>
      <x:c r="G41" s="2"/>
      <x:c r="H41" s="8" t="str">
        <x:v>RESERVA_INGENIERIA</x:v>
      </x:c>
    </x:row>
    <x:row r="42" ht="46" customHeight="1">
      <x:c r="A42" s="2" t="str">
        <x:v>B</x:v>
      </x:c>
      <x:c r="B42" s="2" t="str">
        <x:v>regional_logistics</x:v>
      </x:c>
      <x:c r="C42" s="8" t="str">
        <x:v>Traslados regionales y logística de implantación</x:v>
      </x:c>
      <x:c r="D42" s="9" t="n">
        <x:v>1</x:v>
      </x:c>
      <x:c r="E42" s="10" t="n">
        <x:v>25000000</x:v>
      </x:c>
      <x:c r="F42" s="11" t="n">
        <x:f>ROUND(D42*E42,0)</x:f>
        <x:v>25000000</x:v>
      </x:c>
      <x:c r="G42" s="2"/>
      <x:c r="H42" s="8" t="str">
        <x:v>RESERVA_INGENIERIA</x:v>
      </x:c>
    </x:row>
    <x:row r="43" ht="46" customHeight="1">
      <x:c r="A43" s="2" t="str">
        <x:v>B</x:v>
      </x:c>
      <x:c r="B43" s="2" t="str">
        <x:v>central_engineering</x:v>
      </x:c>
      <x:c r="C43" s="8" t="str">
        <x:v>Ingeniería común, laboratorio y documentación</x:v>
      </x:c>
      <x:c r="D43" s="9" t="n">
        <x:v>1</x:v>
      </x:c>
      <x:c r="E43" s="10" t="n">
        <x:v>6550000</x:v>
      </x:c>
      <x:c r="F43" s="11" t="n">
        <x:f>ROUND(D43*E43,0)</x:f>
        <x:v>6550000</x:v>
      </x:c>
      <x:c r="G43" s="2"/>
      <x:c r="H43" s="8" t="str">
        <x:v>RESERVA_INGENIERIA</x:v>
      </x:c>
    </x:row>
    <x:row r="44" ht="46" customHeight="1">
      <x:c r="A44" s="2" t="str">
        <x:v>B</x:v>
      </x:c>
      <x:c r="B44" s="2" t="str">
        <x:v>ha_dc2_memory</x:v>
      </x:c>
      <x:c r="C44" s="8" t="str">
        <x:v>DC-02: ampliación de 32 a 64 GiB RAM</x:v>
      </x:c>
      <x:c r="D44" s="9" t="n">
        <x:v>1</x:v>
      </x:c>
      <x:c r="E44" s="10" t="n">
        <x:v>250000</x:v>
      </x:c>
      <x:c r="F44" s="11" t="n">
        <x:f>ROUND(D44*E44,0)</x:f>
        <x:v>250000</x:v>
      </x:c>
      <x:c r="G44" s="2"/>
      <x:c r="H44" s="8" t="str">
        <x:v>RESERVA_INGENIERIA</x:v>
      </x:c>
    </x:row>
    <x:row r="45" ht="46" customHeight="1">
      <x:c r="A45" s="2" t="str">
        <x:v>B</x:v>
      </x:c>
      <x:c r="B45" s="2" t="str">
        <x:v>ha_dc2_storage</x:v>
      </x:c>
      <x:c r="C45" s="8" t="str">
        <x:v>DC-02: par SSD empresarial 3,84 TB en espejo</x:v>
      </x:c>
      <x:c r="D45" s="9" t="n">
        <x:v>1</x:v>
      </x:c>
      <x:c r="E45" s="10" t="n">
        <x:v>1200000</x:v>
      </x:c>
      <x:c r="F45" s="11" t="n">
        <x:f>ROUND(D45*E45,0)</x:f>
        <x:v>1200000</x:v>
      </x:c>
      <x:c r="G45" s="2"/>
      <x:c r="H45" s="8" t="str">
        <x:v>RESERVA_INGENIERIA</x:v>
      </x:c>
    </x:row>
    <x:row r="46" ht="46" customHeight="1">
      <x:c r="A46" s="2" t="str">
        <x:v>B</x:v>
      </x:c>
      <x:c r="B46" s="2" t="str">
        <x:v>b_lacp_dac</x:v>
      </x:c>
      <x:c r="C46" s="8" t="str">
        <x:v>DAC MikroTik XS+DA0001 1m · enlaces LACP interswitch</x:v>
      </x:c>
      <x:c r="D46" s="9" t="n">
        <x:v>44</x:v>
      </x:c>
      <x:c r="E46" s="10" t="n">
        <x:v>37271</x:v>
      </x:c>
      <x:c r="F46" s="11" t="n">
        <x:f>ROUND(D46*E46,0)</x:f>
        <x:v>1639924</x:v>
      </x:c>
      <x:c r="G46" s="2"/>
      <x:c r="H46" s="8" t="str">
        <x:v>https://mikrotik.com/product/xs_da0001</x:v>
      </x:c>
    </x:row>
    <x:row r="47" ht="46" customHeight="1">
      <x:c r="A47" s="2" t="str">
        <x:v>B</x:v>
      </x:c>
      <x:c r="B47" s="2" t="str">
        <x:v>b_wan_hex</x:v>
      </x:c>
      <x:c r="C47" s="8" t="str">
        <x:v>Distribuidor WAN MikroTik hEX E50UG · bridge VLAN</x:v>
      </x:c>
      <x:c r="D47" s="9" t="n">
        <x:v>45</x:v>
      </x:c>
      <x:c r="E47" s="10" t="n">
        <x:v>77048</x:v>
      </x:c>
      <x:c r="F47" s="11" t="n">
        <x:f>ROUND(D47*E47,0)</x:f>
        <x:v>3467160</x:v>
      </x:c>
      <x:c r="G47" s="2"/>
      <x:c r="H47" s="8" t="str">
        <x:v>https://mikrotik.com/product/hex_2024</x:v>
      </x:c>
    </x:row>
    <x:row r="48" ht="46" customHeight="1">
      <x:c r="A48" s="2" t="str">
        <x:v>B</x:v>
      </x:c>
      <x:c r="B48" s="2" t="str">
        <x:v>b_wan_crs310</x:v>
      </x:c>
      <x:c r="C48" s="8" t="str">
        <x:v>Distribuidor WAN-A central MikroTik CRS310-8G+2S+IN</x:v>
      </x:c>
      <x:c r="D48" s="9" t="n">
        <x:v>1</x:v>
      </x:c>
      <x:c r="E48" s="10" t="n">
        <x:v>281459</x:v>
      </x:c>
      <x:c r="F48" s="11" t="n">
        <x:f>ROUND(D48*E48,0)</x:f>
        <x:v>281459</x:v>
      </x:c>
      <x:c r="G48" s="2"/>
      <x:c r="H48" s="8" t="str">
        <x:v>https://mikrotik.com/product/crs310_8g_2s_in</x:v>
      </x:c>
    </x:row>
    <x:row r="49" ht="46" customHeight="1">
      <x:c r="A49" s="2" t="str">
        <x:v>B</x:v>
      </x:c>
      <x:c r="B49" s="2" t="str">
        <x:v>b_router_ccr2004</x:v>
      </x:c>
      <x:c r="C49" s="8" t="str">
        <x:v>Router estándar MikroTik CCR2004-16G-2S+</x:v>
      </x:c>
      <x:c r="D49" s="9" t="n">
        <x:v>42</x:v>
      </x:c>
      <x:c r="E49" s="10" t="n">
        <x:v>553350</x:v>
      </x:c>
      <x:c r="F49" s="11" t="n">
        <x:f>ROUND(D49*E49,0)</x:f>
        <x:v>23240700</x:v>
      </x:c>
      <x:c r="G49" s="2"/>
      <x:c r="H49" s="8" t="str">
        <x:v>https://mikrotik.com/product/ccr2004_16g_2splus</x:v>
      </x:c>
    </x:row>
    <x:row r="50" ht="46" customHeight="1">
      <x:c r="A50" s="2" t="str">
        <x:v>B</x:v>
      </x:c>
      <x:c r="B50" s="2" t="str">
        <x:v>b_router_rb5009</x:v>
      </x:c>
      <x:c r="C50" s="8" t="str">
        <x:v>Router sede pequeña MikroTik RB5009UG+S+IN</x:v>
      </x:c>
      <x:c r="D50" s="9" t="n">
        <x:v>2</x:v>
      </x:c>
      <x:c r="E50" s="10" t="n">
        <x:v>307466</x:v>
      </x:c>
      <x:c r="F50" s="11" t="n">
        <x:f>ROUND(D50*E50,0)</x:f>
        <x:v>614932</x:v>
      </x:c>
      <x:c r="G50" s="2"/>
      <x:c r="H50" s="8" t="str">
        <x:v>https://www.redcetus.cl/shop/mikrotik-rb5009ug-s-in-router-home-lab-4962</x:v>
      </x:c>
    </x:row>
    <x:row r="51" ht="46" customHeight="1">
      <x:c r="A51" s="2" t="str">
        <x:v>B</x:v>
      </x:c>
      <x:c r="B51" s="2" t="str">
        <x:v>b_switch_crs328</x:v>
      </x:c>
      <x:c r="C51" s="8" t="str">
        <x:v>Switch PoE MikroTik CRS328-24P-4S+RM</x:v>
      </x:c>
      <x:c r="D51" s="9" t="n">
        <x:v>44</x:v>
      </x:c>
      <x:c r="E51" s="10" t="n">
        <x:v>646990</x:v>
      </x:c>
      <x:c r="F51" s="11" t="n">
        <x:f>ROUND(D51*E51,0)</x:f>
        <x:v>28467560</x:v>
      </x:c>
      <x:c r="G51" s="2"/>
      <x:c r="H51" s="8" t="str">
        <x:v>https://www.tecnomas.cl/productos/categorias/Switches?pagina=13</x:v>
      </x:c>
    </x:row>
    <x:row r="52" ht="46" customHeight="1">
      <x:c r="A52" s="2" t="str">
        <x:v>B</x:v>
      </x:c>
      <x:c r="B52" s="2" t="str">
        <x:v>b_firewall_dec3852</x:v>
      </x:c>
      <x:c r="C52" s="8" t="str">
        <x:v>Appliance OPNsense DEC3852</x:v>
      </x:c>
      <x:c r="D52" s="9" t="n">
        <x:v>2</x:v>
      </x:c>
      <x:c r="E52" s="10" t="n">
        <x:v>2683741</x:v>
      </x:c>
      <x:c r="F52" s="11" t="n">
        <x:f>ROUND(D52*E52,0)</x:f>
        <x:v>5367482</x:v>
      </x:c>
      <x:c r="G52" s="2"/>
      <x:c r="H52" s="8" t="str">
        <x:v>https://shop.opnsense.com/product/dec3852-opnsense-rack-security-appliance/</x:v>
      </x:c>
    </x:row>
    <x:row r="53" ht="26" customHeight="1">
      <x:c r="A53" s="2"/>
      <x:c r="B53" s="2"/>
      <x:c r="C53" s="2"/>
      <x:c r="D53" s="2"/>
      <x:c r="E53" s="2"/>
      <x:c r="F53" s="2"/>
      <x:c r="G53" s="2"/>
      <x:c r="H53" s="2"/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5" hidden="0" customWidth="1"/>
    <x:col min="3" max="3" width="12" hidden="0" customWidth="1"/>
    <x:col min="4" max="4" width="29" hidden="0" customWidth="1"/>
    <x:col min="5" max="5" width="29" hidden="0" customWidth="1"/>
    <x:col min="6" max="6" width="29" hidden="0" customWidth="1"/>
  </x:cols>
  <x:sheetData>
    <x:row r="1" ht="26" customHeight="1">
      <x:c r="A1" s="4" t="str">
        <x:v>Inventario por sede</x:v>
      </x:c>
      <x:c r="B1" s="5"/>
      <x:c r="C1" s="5"/>
      <x:c r="D1" s="5"/>
      <x:c r="E1" s="5"/>
      <x:c r="F1" s="5"/>
    </x:row>
    <x:row r="2" ht="26" customHeight="1">
      <x:c r="A2" s="5"/>
      <x:c r="B2" s="5"/>
      <x:c r="C2" s="5"/>
      <x:c r="D2" s="5"/>
      <x:c r="E2" s="5"/>
      <x:c r="F2" s="5"/>
    </x:row>
    <x:row r="3" ht="26" customHeight="1">
      <x:c r="A3" s="2" t="str">
        <x:v>ANTES es común a ambas opciones. Routers del rediseño: dos por sucursal.</x:v>
      </x:c>
      <x:c r="B3" s="2"/>
      <x:c r="C3" s="2"/>
      <x:c r="D3" s="2"/>
      <x:c r="E3" s="2"/>
      <x:c r="F3" s="2"/>
    </x:row>
    <x:row r="4" ht="30" customHeight="1">
      <x:c r="A4" s="7" t="str">
        <x:v>Sede</x:v>
      </x:c>
      <x:c r="B4" s="7" t="str">
        <x:v>Ciudad</x:v>
      </x:c>
      <x:c r="C4" s="7" t="str">
        <x:v>Puestos</x:v>
      </x:c>
      <x:c r="D4" s="7" t="str">
        <x:v>Router ANTES</x:v>
      </x:c>
      <x:c r="E4" s="7" t="str">
        <x:v>Router A</x:v>
      </x:c>
      <x:c r="F4" s="7" t="str">
        <x:v>Router B</x:v>
      </x:c>
    </x:row>
    <x:row r="5" ht="26" customHeight="1">
      <x:c r="A5" s="2" t="str">
        <x:v>cm</x:v>
      </x:c>
      <x:c r="B5" s="2" t="str">
        <x:v>Santiago Centro</x:v>
      </x:c>
      <x:c r="C5" s="2" t="n">
        <x:v>55</x:v>
      </x:c>
      <x:c r="D5" s="2" t="str">
        <x:v>CISCO2911-SEC/K9</x:v>
      </x:c>
      <x:c r="E5" s="2" t="str">
        <x:v>Par PA-1410 central</x:v>
      </x:c>
      <x:c r="F5" s="2" t="str">
        <x:v>Par DEC3852 central</x:v>
      </x:c>
    </x:row>
    <x:row r="6" ht="26" customHeight="1">
      <x:c r="A6" s="2" t="str">
        <x:v>s01</x:v>
      </x:c>
      <x:c r="B6" s="2" t="str">
        <x:v>Providencia</x:v>
      </x:c>
      <x:c r="C6" s="2" t="n">
        <x:v>30</x:v>
      </x:c>
      <x:c r="D6" s="2" t="str">
        <x:v>CISCO1921-SEC/K9</x:v>
      </x:c>
      <x:c r="E6" s="2" t="str">
        <x:v>C1121X-8P</x:v>
      </x:c>
      <x:c r="F6" s="2" t="str">
        <x:v>CCR2004-16G-2S+</x:v>
      </x:c>
    </x:row>
    <x:row r="7" ht="26" customHeight="1">
      <x:c r="A7" s="2" t="str">
        <x:v>s02</x:v>
      </x:c>
      <x:c r="B7" s="2" t="str">
        <x:v>Las Condes</x:v>
      </x:c>
      <x:c r="C7" s="2" t="n">
        <x:v>30</x:v>
      </x:c>
      <x:c r="D7" s="2" t="str">
        <x:v>ISR4321/K9</x:v>
      </x:c>
      <x:c r="E7" s="2" t="str">
        <x:v>C1121X-8P</x:v>
      </x:c>
      <x:c r="F7" s="2" t="str">
        <x:v>CCR2004-16G-2S+</x:v>
      </x:c>
    </x:row>
    <x:row r="8" ht="26" customHeight="1">
      <x:c r="A8" s="2" t="str">
        <x:v>s03</x:v>
      </x:c>
      <x:c r="B8" s="2" t="str">
        <x:v>Maipú</x:v>
      </x:c>
      <x:c r="C8" s="2" t="n">
        <x:v>30</x:v>
      </x:c>
      <x:c r="D8" s="2" t="str">
        <x:v>CISCO1921-SEC/K9</x:v>
      </x:c>
      <x:c r="E8" s="2" t="str">
        <x:v>C1121X-8P</x:v>
      </x:c>
      <x:c r="F8" s="2" t="str">
        <x:v>CCR2004-16G-2S+</x:v>
      </x:c>
    </x:row>
    <x:row r="9" ht="26" customHeight="1">
      <x:c r="A9" s="2" t="str">
        <x:v>s04</x:v>
      </x:c>
      <x:c r="B9" s="2" t="str">
        <x:v>Puente Alto</x:v>
      </x:c>
      <x:c r="C9" s="2" t="n">
        <x:v>30</x:v>
      </x:c>
      <x:c r="D9" s="2" t="str">
        <x:v>ISR4321/K9</x:v>
      </x:c>
      <x:c r="E9" s="2" t="str">
        <x:v>C1121X-8P</x:v>
      </x:c>
      <x:c r="F9" s="2" t="str">
        <x:v>CCR2004-16G-2S+</x:v>
      </x:c>
    </x:row>
    <x:row r="10" ht="26" customHeight="1">
      <x:c r="A10" s="2" t="str">
        <x:v>s05</x:v>
      </x:c>
      <x:c r="B10" s="2" t="str">
        <x:v>La Florida</x:v>
      </x:c>
      <x:c r="C10" s="2" t="n">
        <x:v>30</x:v>
      </x:c>
      <x:c r="D10" s="2" t="str">
        <x:v>ISR4321/K9</x:v>
      </x:c>
      <x:c r="E10" s="2" t="str">
        <x:v>C1121X-8P</x:v>
      </x:c>
      <x:c r="F10" s="2" t="str">
        <x:v>CCR2004-16G-2S+</x:v>
      </x:c>
    </x:row>
    <x:row r="11" ht="26" customHeight="1">
      <x:c r="A11" s="2" t="str">
        <x:v>s06</x:v>
      </x:c>
      <x:c r="B11" s="2" t="str">
        <x:v>Arica</x:v>
      </x:c>
      <x:c r="C11" s="2" t="n">
        <x:v>28</x:v>
      </x:c>
      <x:c r="D11" s="2" t="str">
        <x:v>ISR4321/K9</x:v>
      </x:c>
      <x:c r="E11" s="2" t="str">
        <x:v>C1121X-8P</x:v>
      </x:c>
      <x:c r="F11" s="2" t="str">
        <x:v>CCR2004-16G-2S+</x:v>
      </x:c>
    </x:row>
    <x:row r="12" ht="26" customHeight="1">
      <x:c r="A12" s="2" t="str">
        <x:v>s07</x:v>
      </x:c>
      <x:c r="B12" s="2" t="str">
        <x:v>Iquique</x:v>
      </x:c>
      <x:c r="C12" s="2" t="n">
        <x:v>28</x:v>
      </x:c>
      <x:c r="D12" s="2" t="str">
        <x:v>ISR4321/K9</x:v>
      </x:c>
      <x:c r="E12" s="2" t="str">
        <x:v>C1121X-8P</x:v>
      </x:c>
      <x:c r="F12" s="2" t="str">
        <x:v>CCR2004-16G-2S+</x:v>
      </x:c>
    </x:row>
    <x:row r="13" ht="26" customHeight="1">
      <x:c r="A13" s="2" t="str">
        <x:v>s08</x:v>
      </x:c>
      <x:c r="B13" s="2" t="str">
        <x:v>Antofagasta</x:v>
      </x:c>
      <x:c r="C13" s="2" t="n">
        <x:v>28</x:v>
      </x:c>
      <x:c r="D13" s="2" t="str">
        <x:v>ISR4321/K9</x:v>
      </x:c>
      <x:c r="E13" s="2" t="str">
        <x:v>C1121X-8P</x:v>
      </x:c>
      <x:c r="F13" s="2" t="str">
        <x:v>CCR2004-16G-2S+</x:v>
      </x:c>
    </x:row>
    <x:row r="14" ht="26" customHeight="1">
      <x:c r="A14" s="2" t="str">
        <x:v>s09</x:v>
      </x:c>
      <x:c r="B14" s="2" t="str">
        <x:v>Copiapó</x:v>
      </x:c>
      <x:c r="C14" s="2" t="n">
        <x:v>28</x:v>
      </x:c>
      <x:c r="D14" s="2" t="str">
        <x:v>C1121X-8P</x:v>
      </x:c>
      <x:c r="E14" s="2" t="str">
        <x:v>C1121X-8P</x:v>
      </x:c>
      <x:c r="F14" s="2" t="str">
        <x:v>CCR2004-16G-2S+</x:v>
      </x:c>
    </x:row>
    <x:row r="15" ht="26" customHeight="1">
      <x:c r="A15" s="2" t="str">
        <x:v>s10</x:v>
      </x:c>
      <x:c r="B15" s="2" t="str">
        <x:v>La Serena</x:v>
      </x:c>
      <x:c r="C15" s="2" t="n">
        <x:v>28</x:v>
      </x:c>
      <x:c r="D15" s="2" t="str">
        <x:v>ISR4321/K9</x:v>
      </x:c>
      <x:c r="E15" s="2" t="str">
        <x:v>C1121X-8P</x:v>
      </x:c>
      <x:c r="F15" s="2" t="str">
        <x:v>CCR2004-16G-2S+</x:v>
      </x:c>
    </x:row>
    <x:row r="16" ht="26" customHeight="1">
      <x:c r="A16" s="2" t="str">
        <x:v>s11</x:v>
      </x:c>
      <x:c r="B16" s="2" t="str">
        <x:v>Valparaíso</x:v>
      </x:c>
      <x:c r="C16" s="2" t="n">
        <x:v>28</x:v>
      </x:c>
      <x:c r="D16" s="2" t="str">
        <x:v>CISCO1921-SEC/K9</x:v>
      </x:c>
      <x:c r="E16" s="2" t="str">
        <x:v>C1121X-8P</x:v>
      </x:c>
      <x:c r="F16" s="2" t="str">
        <x:v>CCR2004-16G-2S+</x:v>
      </x:c>
    </x:row>
    <x:row r="17" ht="26" customHeight="1">
      <x:c r="A17" s="2" t="str">
        <x:v>s12</x:v>
      </x:c>
      <x:c r="B17" s="2" t="str">
        <x:v>Rancagua</x:v>
      </x:c>
      <x:c r="C17" s="2" t="n">
        <x:v>28</x:v>
      </x:c>
      <x:c r="D17" s="2" t="str">
        <x:v>CISCO1921-SEC/K9</x:v>
      </x:c>
      <x:c r="E17" s="2" t="str">
        <x:v>C1121X-8P</x:v>
      </x:c>
      <x:c r="F17" s="2" t="str">
        <x:v>CCR2004-16G-2S+</x:v>
      </x:c>
    </x:row>
    <x:row r="18" ht="26" customHeight="1">
      <x:c r="A18" s="2" t="str">
        <x:v>s13</x:v>
      </x:c>
      <x:c r="B18" s="2" t="str">
        <x:v>Talca</x:v>
      </x:c>
      <x:c r="C18" s="2" t="n">
        <x:v>28</x:v>
      </x:c>
      <x:c r="D18" s="2" t="str">
        <x:v>ISR4321/K9</x:v>
      </x:c>
      <x:c r="E18" s="2" t="str">
        <x:v>C1121X-8P</x:v>
      </x:c>
      <x:c r="F18" s="2" t="str">
        <x:v>CCR2004-16G-2S+</x:v>
      </x:c>
    </x:row>
    <x:row r="19" ht="26" customHeight="1">
      <x:c r="A19" s="2" t="str">
        <x:v>s14</x:v>
      </x:c>
      <x:c r="B19" s="2" t="str">
        <x:v>Chillán</x:v>
      </x:c>
      <x:c r="C19" s="2" t="n">
        <x:v>28</x:v>
      </x:c>
      <x:c r="D19" s="2" t="str">
        <x:v>C1121X-8P</x:v>
      </x:c>
      <x:c r="E19" s="2" t="str">
        <x:v>C1121X-8P</x:v>
      </x:c>
      <x:c r="F19" s="2" t="str">
        <x:v>CCR2004-16G-2S+</x:v>
      </x:c>
    </x:row>
    <x:row r="20" ht="26" customHeight="1">
      <x:c r="A20" s="2" t="str">
        <x:v>s15</x:v>
      </x:c>
      <x:c r="B20" s="2" t="str">
        <x:v>Concepción</x:v>
      </x:c>
      <x:c r="C20" s="2" t="n">
        <x:v>28</x:v>
      </x:c>
      <x:c r="D20" s="2" t="str">
        <x:v>CISCO1921-SEC/K9</x:v>
      </x:c>
      <x:c r="E20" s="2" t="str">
        <x:v>C1121X-8P</x:v>
      </x:c>
      <x:c r="F20" s="2" t="str">
        <x:v>CCR2004-16G-2S+</x:v>
      </x:c>
    </x:row>
    <x:row r="21" ht="26" customHeight="1">
      <x:c r="A21" s="2" t="str">
        <x:v>s16</x:v>
      </x:c>
      <x:c r="B21" s="2" t="str">
        <x:v>Temuco</x:v>
      </x:c>
      <x:c r="C21" s="2" t="n">
        <x:v>28</x:v>
      </x:c>
      <x:c r="D21" s="2" t="str">
        <x:v>ISR4321/K9</x:v>
      </x:c>
      <x:c r="E21" s="2" t="str">
        <x:v>C1121X-8P</x:v>
      </x:c>
      <x:c r="F21" s="2" t="str">
        <x:v>CCR2004-16G-2S+</x:v>
      </x:c>
    </x:row>
    <x:row r="22" ht="26" customHeight="1">
      <x:c r="A22" s="2" t="str">
        <x:v>s17</x:v>
      </x:c>
      <x:c r="B22" s="2" t="str">
        <x:v>Valdivia</x:v>
      </x:c>
      <x:c r="C22" s="2" t="n">
        <x:v>28</x:v>
      </x:c>
      <x:c r="D22" s="2" t="str">
        <x:v>C1121X-8P</x:v>
      </x:c>
      <x:c r="E22" s="2" t="str">
        <x:v>C1121X-8P</x:v>
      </x:c>
      <x:c r="F22" s="2" t="str">
        <x:v>CCR2004-16G-2S+</x:v>
      </x:c>
    </x:row>
    <x:row r="23" ht="26" customHeight="1">
      <x:c r="A23" s="2" t="str">
        <x:v>s18</x:v>
      </x:c>
      <x:c r="B23" s="2" t="str">
        <x:v>Puerto Montt</x:v>
      </x:c>
      <x:c r="C23" s="2" t="n">
        <x:v>28</x:v>
      </x:c>
      <x:c r="D23" s="2" t="str">
        <x:v>ISR4321/K9</x:v>
      </x:c>
      <x:c r="E23" s="2" t="str">
        <x:v>C1121X-8P</x:v>
      </x:c>
      <x:c r="F23" s="2" t="str">
        <x:v>CCR2004-16G-2S+</x:v>
      </x:c>
    </x:row>
    <x:row r="24" ht="26" customHeight="1">
      <x:c r="A24" s="2" t="str">
        <x:v>s19</x:v>
      </x:c>
      <x:c r="B24" s="2" t="str">
        <x:v>Coyhaique</x:v>
      </x:c>
      <x:c r="C24" s="2" t="n">
        <x:v>28</x:v>
      </x:c>
      <x:c r="D24" s="2" t="str">
        <x:v>C1121X-8P</x:v>
      </x:c>
      <x:c r="E24" s="2" t="str">
        <x:v>C1121X-8P</x:v>
      </x:c>
      <x:c r="F24" s="2" t="str">
        <x:v>CCR2004-16G-2S+</x:v>
      </x:c>
    </x:row>
    <x:row r="25" ht="26" customHeight="1">
      <x:c r="A25" s="2" t="str">
        <x:v>s20</x:v>
      </x:c>
      <x:c r="B25" s="2" t="str">
        <x:v>Punta Arenas</x:v>
      </x:c>
      <x:c r="C25" s="2" t="n">
        <x:v>28</x:v>
      </x:c>
      <x:c r="D25" s="2" t="str">
        <x:v>C1121X-8P</x:v>
      </x:c>
      <x:c r="E25" s="2" t="str">
        <x:v>C1121X-8P</x:v>
      </x:c>
      <x:c r="F25" s="2" t="str">
        <x:v>CCR2004-16G-2S+</x:v>
      </x:c>
    </x:row>
    <x:row r="26" ht="26" customHeight="1">
      <x:c r="A26" s="2" t="str">
        <x:v>s21</x:v>
      </x:c>
      <x:c r="B26" s="2" t="str">
        <x:v>Hanga Roa (Isla de Pascua)</x:v>
      </x:c>
      <x:c r="C26" s="2" t="n">
        <x:v>17</x:v>
      </x:c>
      <x:c r="D26" s="2" t="str">
        <x:v>C1121X-8P</x:v>
      </x:c>
      <x:c r="E26" s="2" t="str">
        <x:v>C1121X-8P</x:v>
      </x:c>
      <x:c r="F26" s="2" t="str">
        <x:v>CCR2004-16G-2S+</x:v>
      </x:c>
    </x:row>
    <x:row r="27" ht="26" customHeight="1">
      <x:c r="A27" s="2" t="str">
        <x:v>s22</x:v>
      </x:c>
      <x:c r="B27" s="2" t="str">
        <x:v>Antártica Chilena</x:v>
      </x:c>
      <x:c r="C27" s="2" t="n">
        <x:v>8</x:v>
      </x:c>
      <x:c r="D27" s="2" t="str">
        <x:v>C1121X-8P</x:v>
      </x:c>
      <x:c r="E27" s="2" t="str">
        <x:v>C1121X-8P</x:v>
      </x:c>
      <x:c r="F27" s="2" t="str">
        <x:v>RB5009UG+S+IN</x:v>
      </x:c>
    </x:row>
    <x:row r="28" ht="26" customHeight="1">
      <x:c r="A28" s="2" t="str">
        <x:v>Total de puestos</x:v>
      </x:c>
      <x:c r="B28" s="2"/>
      <x:c r="C28" s="2" t="n">
        <x:f>SUM(C5:C27)</x:f>
        <x:v>650</x:v>
      </x:c>
      <x:c r="D28" s="2"/>
      <x:c r="E28" s="2"/>
      <x:c r="F28" s="2"/>
    </x:row>
    <x:row r="29" ht="26" customHeight="1">
      <x:c r="A29" s="2"/>
      <x:c r="B29" s="2"/>
      <x:c r="C29" s="2"/>
      <x:c r="D29" s="2"/>
      <x:c r="E29" s="2"/>
      <x:c r="F29" s="2"/>
    </x:row>
  </x:sheetData>
  <x:mergeCells>
    <x:mergeCell ref="A1:F2"/>
    <x:mergeCell ref="A3:F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6" customHeight="1">
      <x:c r="A1" s="4" t="str">
        <x:v>Servidores existentes y alta disponibilidad</x:v>
      </x:c>
      <x:c r="B1" s="5"/>
      <x:c r="C1" s="5"/>
      <x:c r="D1" s="5"/>
      <x:c r="E1" s="5"/>
      <x:c r="F1" s="5"/>
    </x:row>
    <x:row r="2" ht="26" customHeight="1">
      <x:c r="A2" s="5"/>
      <x:c r="B2" s="5"/>
      <x:c r="C2" s="5"/>
      <x:c r="D2" s="5"/>
      <x:c r="E2" s="5"/>
      <x:c r="F2" s="5"/>
    </x:row>
    <x:row r="3" ht="26" customHeight="1">
      <x:c r="A3" s="2" t="str">
        <x:v>Se reutilizan los hosts. El rediseño amplía RAM y almacenamiento de DC-02.</x:v>
      </x:c>
      <x:c r="B3" s="2"/>
      <x:c r="C3" s="2"/>
      <x:c r="D3" s="2"/>
      <x:c r="E3" s="2"/>
      <x:c r="F3" s="2"/>
    </x:row>
    <x:row r="4" ht="30" customHeight="1">
      <x:c r="A4" s="7" t="str">
        <x:v>Host</x:v>
      </x:c>
      <x:c r="B4" s="7" t="str">
        <x:v>Modelo</x:v>
      </x:c>
      <x:c r="C4" s="7" t="str">
        <x:v>RAM antes GiB</x:v>
      </x:c>
      <x:c r="D4" s="7" t="str">
        <x:v>RAM después GiB</x:v>
      </x:c>
      <x:c r="E4" s="7" t="str">
        <x:v>Disco antes GB</x:v>
      </x:c>
      <x:c r="F4" s="7" t="str">
        <x:v>Disco después GB</x:v>
      </x:c>
    </x:row>
    <x:row r="5" ht="26" customHeight="1">
      <x:c r="A5" s="2" t="str">
        <x:v>DC-01</x:v>
      </x:c>
      <x:c r="B5" s="2" t="str">
        <x:v>Dell PowerEdge R740</x:v>
      </x:c>
      <x:c r="C5" s="2" t="n">
        <x:v>64</x:v>
      </x:c>
      <x:c r="D5" s="2" t="n">
        <x:v>64</x:v>
      </x:c>
      <x:c r="E5" s="2" t="n">
        <x:v>2000</x:v>
      </x:c>
      <x:c r="F5" s="2" t="n">
        <x:v>2000</x:v>
      </x:c>
    </x:row>
    <x:row r="6" ht="26" customHeight="1">
      <x:c r="A6" s="2" t="str">
        <x:v>DC-02</x:v>
      </x:c>
      <x:c r="B6" s="2" t="str">
        <x:v>Dell PowerEdge R740</x:v>
      </x:c>
      <x:c r="C6" s="2" t="n">
        <x:v>32</x:v>
      </x:c>
      <x:c r="D6" s="2" t="n">
        <x:v>64</x:v>
      </x:c>
      <x:c r="E6" s="2" t="n">
        <x:v>1000</x:v>
      </x:c>
      <x:c r="F6" s="2" t="n">
        <x:v>3840</x:v>
      </x:c>
    </x:row>
    <x:row r="7" ht="26" customHeight="1">
      <x:c r="A7" s="2" t="str">
        <x:v>BKP-01</x:v>
      </x:c>
      <x:c r="B7" s="2" t="str">
        <x:v>Dell PowerEdge R540</x:v>
      </x:c>
      <x:c r="C7" s="2" t="n">
        <x:v>16</x:v>
      </x:c>
      <x:c r="D7" s="2" t="n">
        <x:v>16</x:v>
      </x:c>
      <x:c r="E7" s="2" t="n">
        <x:v>8000</x:v>
      </x:c>
      <x:c r="F7" s="2" t="n">
        <x:v>8000</x:v>
      </x:c>
    </x:row>
    <x:row r="8" ht="26" customHeight="1">
      <x:c r="A8" s="2"/>
      <x:c r="B8" s="2"/>
      <x:c r="C8" s="2"/>
      <x:c r="D8" s="2"/>
      <x:c r="E8" s="2"/>
      <x:c r="F8" s="2"/>
    </x:row>
    <x:row r="9" ht="26" customHeight="1">
      <x:c r="A9" s="8" t="str">
        <x:v>DC-01: aplicación y BD. DC-02: telefonía, DNS/NTP y gestión. BKP-01: respaldos y tercer voto de quórum.</x:v>
      </x:c>
      <x:c r="B9" s="8"/>
      <x:c r="C9" s="8"/>
      <x:c r="D9" s="8"/>
      <x:c r="E9" s="8"/>
      <x:c r="F9" s="8"/>
    </x:row>
    <x:row r="10" ht="26" customHeight="1">
      <x:c r="A10" s="8"/>
      <x:c r="B10" s="8"/>
      <x:c r="C10" s="8"/>
      <x:c r="D10" s="8"/>
      <x:c r="E10" s="8"/>
      <x:c r="F10" s="8"/>
    </x:row>
    <x:row r="11" ht="26" customHeight="1">
      <x:c r="A11" s="8"/>
      <x:c r="B11" s="8"/>
      <x:c r="C11" s="8"/>
      <x:c r="D11" s="8"/>
      <x:c r="E11" s="8"/>
      <x:c r="F11" s="8"/>
    </x:row>
    <x:row r="12" ht="26" customHeight="1">
      <x:c r="A12" s="8" t="str">
        <x:v>Réplica ZFS con objetivo de 60 s. Para recuperar VMs se exige réplica utilizable y mayoría de 2 de 3 votos. Cada equipo tiene NIC1 a SW1 y NIC2 a SW2. La recuperación reinicia servicios y no conserva una sesión abierta.</x:v>
      </x:c>
      <x:c r="B12" s="8"/>
      <x:c r="C12" s="8"/>
      <x:c r="D12" s="8"/>
      <x:c r="E12" s="8"/>
      <x:c r="F12" s="8"/>
    </x:row>
    <x:row r="13" ht="26" customHeight="1">
      <x:c r="A13" s="8"/>
      <x:c r="B13" s="8"/>
      <x:c r="C13" s="8"/>
      <x:c r="D13" s="8"/>
      <x:c r="E13" s="8"/>
      <x:c r="F13" s="8"/>
    </x:row>
    <x:row r="14" ht="26" customHeight="1">
      <x:c r="A14" s="8"/>
      <x:c r="B14" s="8"/>
      <x:c r="C14" s="8"/>
      <x:c r="D14" s="8"/>
      <x:c r="E14" s="8"/>
      <x:c r="F14" s="8"/>
    </x:row>
    <x:row r="15" ht="26" customHeight="1">
      <x:c r="A15" s="2"/>
      <x:c r="B15" s="2"/>
      <x:c r="C15" s="2"/>
      <x:c r="D15" s="2"/>
      <x:c r="E15" s="2"/>
      <x:c r="F15" s="2"/>
    </x:row>
  </x:sheetData>
  <x:mergeCells>
    <x:mergeCell ref="A1:F2"/>
    <x:mergeCell ref="A3:F3"/>
    <x:mergeCell ref="A9:F10"/>
    <x:mergeCell ref="A12:F14"/>
  </x:mergeCells>
  <x:pageMargins left="0.7" right="0.7" top="0.75" bottom="0.75" header="0.3" footer="0.3"/>
</x:worksheet>
</file>